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cciona365-my.sharepoint.com/personal/ajusto_acciona_com/Documents/Desktop/MI DESORDEN/"/>
    </mc:Choice>
  </mc:AlternateContent>
  <xr:revisionPtr revIDLastSave="1" documentId="8_{3B8DFEC7-7E01-4494-A5B9-BB39FD3EA8BD}" xr6:coauthVersionLast="47" xr6:coauthVersionMax="47" xr10:uidLastSave="{4CFCF49B-E8A0-4CE6-99CF-C924E918487E}"/>
  <bookViews>
    <workbookView xWindow="4365" yWindow="2235" windowWidth="38700" windowHeight="15345" xr2:uid="{16F68274-E1C4-4793-8B3E-610B94671FA0}"/>
  </bookViews>
  <sheets>
    <sheet name="2026" sheetId="1" r:id="rId1"/>
  </sheets>
  <definedNames>
    <definedName name="_xlnm._FilterDatabase" localSheetId="0" hidden="1">'2026'!$A$3:$H$503</definedName>
    <definedName name="_xlnm.Print_Area" localSheetId="0">'2026'!$A$1:$J$12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8" i="1" l="1"/>
  <c r="J371" i="1"/>
  <c r="J362" i="1"/>
  <c r="J349" i="1"/>
  <c r="J335" i="1"/>
  <c r="J324" i="1"/>
  <c r="J317" i="1"/>
  <c r="J309" i="1"/>
  <c r="J297" i="1"/>
  <c r="J286" i="1"/>
  <c r="J276" i="1"/>
  <c r="J267" i="1"/>
  <c r="J252" i="1"/>
  <c r="J235" i="1"/>
  <c r="J220" i="1"/>
  <c r="J206" i="1"/>
  <c r="J193" i="1"/>
  <c r="J180" i="1"/>
  <c r="J170" i="1"/>
  <c r="J160" i="1"/>
  <c r="J150" i="1"/>
  <c r="J138" i="1"/>
  <c r="J131" i="1"/>
  <c r="J121" i="1"/>
  <c r="J110" i="1"/>
  <c r="J98" i="1"/>
  <c r="J88" i="1"/>
  <c r="J76" i="1"/>
  <c r="J62" i="1"/>
  <c r="J52" i="1"/>
  <c r="J42" i="1"/>
  <c r="J3" i="1" s="1"/>
  <c r="B42" i="1"/>
  <c r="C42" i="1" s="1"/>
  <c r="J30" i="1"/>
  <c r="J19" i="1"/>
  <c r="J12" i="1"/>
  <c r="J5" i="1"/>
  <c r="B5" i="1"/>
  <c r="B6" i="1" s="1"/>
  <c r="D4" i="1"/>
  <c r="F1" i="1"/>
  <c r="A5" i="1" l="1"/>
  <c r="D5" i="1" s="1"/>
  <c r="A42" i="1"/>
  <c r="D42" i="1" s="1"/>
  <c r="C6" i="1"/>
  <c r="A6" i="1"/>
  <c r="D6" i="1" s="1"/>
  <c r="B7" i="1"/>
  <c r="C5" i="1"/>
  <c r="A7" i="1" l="1"/>
  <c r="D7" i="1" s="1"/>
  <c r="B8" i="1"/>
  <c r="C7" i="1"/>
  <c r="C8" i="1" l="1"/>
  <c r="B9" i="1"/>
  <c r="A8" i="1"/>
  <c r="D8" i="1" s="1"/>
  <c r="B10" i="1" l="1"/>
  <c r="C9" i="1"/>
  <c r="A9" i="1"/>
  <c r="D9" i="1" s="1"/>
  <c r="C10" i="1" l="1"/>
  <c r="A10" i="1"/>
  <c r="D10" i="1" s="1"/>
  <c r="B11" i="1"/>
  <c r="A11" i="1" l="1"/>
  <c r="D11" i="1" s="1"/>
  <c r="B12" i="1"/>
  <c r="C11" i="1"/>
  <c r="A12" i="1" l="1"/>
  <c r="D12" i="1" s="1"/>
  <c r="C12" i="1"/>
  <c r="B13" i="1"/>
  <c r="B14" i="1" l="1"/>
  <c r="C13" i="1"/>
  <c r="A13" i="1"/>
  <c r="D13" i="1" s="1"/>
  <c r="C14" i="1" l="1"/>
  <c r="A14" i="1"/>
  <c r="D14" i="1" s="1"/>
  <c r="B15" i="1"/>
  <c r="B16" i="1" l="1"/>
  <c r="C15" i="1"/>
  <c r="A15" i="1"/>
  <c r="D15" i="1" s="1"/>
  <c r="A16" i="1" l="1"/>
  <c r="D16" i="1" s="1"/>
  <c r="B17" i="1"/>
  <c r="C16" i="1"/>
  <c r="B18" i="1" l="1"/>
  <c r="C17" i="1"/>
  <c r="A17" i="1"/>
  <c r="D17" i="1" s="1"/>
  <c r="C18" i="1" l="1"/>
  <c r="A18" i="1"/>
  <c r="D18" i="1" s="1"/>
  <c r="B19" i="1"/>
  <c r="B20" i="1" l="1"/>
  <c r="C19" i="1"/>
  <c r="A19" i="1"/>
  <c r="D19" i="1" s="1"/>
  <c r="B21" i="1" l="1"/>
  <c r="A20" i="1"/>
  <c r="D20" i="1" s="1"/>
  <c r="C20" i="1"/>
  <c r="B22" i="1" l="1"/>
  <c r="C21" i="1"/>
  <c r="A21" i="1"/>
  <c r="D21" i="1" s="1"/>
  <c r="C22" i="1" l="1"/>
  <c r="A22" i="1"/>
  <c r="D22" i="1" s="1"/>
  <c r="B23" i="1"/>
  <c r="C23" i="1" l="1"/>
  <c r="B25" i="1"/>
  <c r="A23" i="1"/>
  <c r="D23" i="1" s="1"/>
  <c r="A25" i="1" l="1"/>
  <c r="D25" i="1" s="1"/>
  <c r="B26" i="1"/>
  <c r="C25" i="1"/>
  <c r="B29" i="1" l="1"/>
  <c r="C26" i="1"/>
  <c r="A26" i="1"/>
  <c r="D26" i="1" s="1"/>
  <c r="C29" i="1" l="1"/>
  <c r="A29" i="1"/>
  <c r="D29" i="1" s="1"/>
  <c r="B31" i="1"/>
  <c r="C31" i="1" l="1"/>
  <c r="B32" i="1"/>
  <c r="A31" i="1"/>
  <c r="D31" i="1" s="1"/>
  <c r="B33" i="1" l="1"/>
  <c r="C32" i="1"/>
  <c r="A32" i="1"/>
  <c r="D32" i="1" s="1"/>
  <c r="B34" i="1" l="1"/>
  <c r="C33" i="1"/>
  <c r="A33" i="1"/>
  <c r="D33" i="1" s="1"/>
  <c r="B37" i="1" l="1"/>
  <c r="A34" i="1"/>
  <c r="D34" i="1" s="1"/>
  <c r="C34" i="1"/>
  <c r="A37" i="1" l="1"/>
  <c r="D37" i="1" s="1"/>
  <c r="B39" i="1"/>
  <c r="C37" i="1"/>
  <c r="A39" i="1" l="1"/>
  <c r="D39" i="1" s="1"/>
  <c r="B41" i="1"/>
  <c r="C39" i="1"/>
  <c r="C41" i="1" l="1"/>
  <c r="A41" i="1"/>
  <c r="D41" i="1" s="1"/>
  <c r="B43" i="1"/>
  <c r="A43" i="1" l="1"/>
  <c r="D43" i="1" s="1"/>
  <c r="B44" i="1"/>
  <c r="C43" i="1"/>
  <c r="B45" i="1" l="1"/>
  <c r="C44" i="1"/>
  <c r="A44" i="1"/>
  <c r="D44" i="1" s="1"/>
  <c r="A45" i="1" l="1"/>
  <c r="D45" i="1" s="1"/>
  <c r="B46" i="1"/>
  <c r="C45" i="1"/>
  <c r="B47" i="1" l="1"/>
  <c r="C46" i="1"/>
  <c r="A46" i="1"/>
  <c r="D46" i="1" s="1"/>
  <c r="A47" i="1" l="1"/>
  <c r="D47" i="1" s="1"/>
  <c r="B49" i="1"/>
  <c r="C47" i="1"/>
  <c r="B51" i="1" l="1"/>
  <c r="A49" i="1"/>
  <c r="D49" i="1" s="1"/>
  <c r="C49" i="1"/>
  <c r="B53" i="1" l="1"/>
  <c r="C51" i="1"/>
  <c r="A51" i="1"/>
  <c r="D51" i="1" s="1"/>
  <c r="C53" i="1" l="1"/>
  <c r="A53" i="1"/>
  <c r="D53" i="1" s="1"/>
  <c r="B54" i="1"/>
  <c r="B55" i="1" l="1"/>
  <c r="C54" i="1"/>
  <c r="A54" i="1"/>
  <c r="D54" i="1" s="1"/>
  <c r="C55" i="1" l="1"/>
  <c r="B57" i="1"/>
  <c r="A55" i="1"/>
  <c r="D55" i="1" s="1"/>
  <c r="A57" i="1" l="1"/>
  <c r="D57" i="1" s="1"/>
  <c r="B59" i="1"/>
  <c r="C57" i="1"/>
  <c r="C59" i="1" l="1"/>
  <c r="B60" i="1"/>
  <c r="A59" i="1"/>
  <c r="D59" i="1" s="1"/>
  <c r="C60" i="1" l="1"/>
  <c r="B62" i="1"/>
  <c r="A60" i="1"/>
  <c r="D60" i="1" s="1"/>
  <c r="C62" i="1" l="1"/>
  <c r="B63" i="1"/>
  <c r="A62" i="1"/>
  <c r="D62" i="1" s="1"/>
  <c r="B64" i="1" l="1"/>
  <c r="C63" i="1"/>
  <c r="A63" i="1"/>
  <c r="D63" i="1" s="1"/>
  <c r="C64" i="1" l="1"/>
  <c r="A64" i="1"/>
  <c r="D64" i="1" s="1"/>
  <c r="B65" i="1"/>
  <c r="B66" i="1" l="1"/>
  <c r="C65" i="1"/>
  <c r="A65" i="1"/>
  <c r="D65" i="1" s="1"/>
  <c r="B67" i="1" l="1"/>
  <c r="C66" i="1"/>
  <c r="A66" i="1"/>
  <c r="D66" i="1" s="1"/>
  <c r="B72" i="1" l="1"/>
  <c r="C67" i="1"/>
  <c r="A67" i="1"/>
  <c r="D67" i="1" s="1"/>
  <c r="B76" i="1" l="1"/>
  <c r="C72" i="1"/>
  <c r="A72" i="1"/>
  <c r="D72" i="1" s="1"/>
  <c r="B77" i="1" l="1"/>
  <c r="C76" i="1"/>
  <c r="A76" i="1"/>
  <c r="D76" i="1" s="1"/>
  <c r="C77" i="1" l="1"/>
  <c r="A77" i="1"/>
  <c r="D77" i="1" s="1"/>
  <c r="B78" i="1"/>
  <c r="B79" i="1" l="1"/>
  <c r="A78" i="1"/>
  <c r="D78" i="1" s="1"/>
  <c r="C78" i="1"/>
  <c r="A79" i="1" l="1"/>
  <c r="D79" i="1" s="1"/>
  <c r="C79" i="1"/>
  <c r="B81" i="1"/>
  <c r="A81" i="1" l="1"/>
  <c r="D81" i="1" s="1"/>
  <c r="B84" i="1"/>
  <c r="C81" i="1"/>
  <c r="C84" i="1" l="1"/>
  <c r="A84" i="1"/>
  <c r="D84" i="1" s="1"/>
  <c r="B87" i="1"/>
  <c r="B88" i="1" l="1"/>
  <c r="A87" i="1"/>
  <c r="D87" i="1" s="1"/>
  <c r="C87" i="1"/>
  <c r="A88" i="1" l="1"/>
  <c r="D88" i="1" s="1"/>
  <c r="B89" i="1"/>
  <c r="C88" i="1"/>
  <c r="B90" i="1" l="1"/>
  <c r="C89" i="1"/>
  <c r="A89" i="1"/>
  <c r="D89" i="1" s="1"/>
  <c r="C90" i="1" l="1"/>
  <c r="A90" i="1"/>
  <c r="D90" i="1" s="1"/>
  <c r="B91" i="1"/>
  <c r="C91" i="1" l="1"/>
  <c r="B92" i="1"/>
  <c r="A91" i="1"/>
  <c r="D91" i="1" s="1"/>
  <c r="A92" i="1" l="1"/>
  <c r="D92" i="1" s="1"/>
  <c r="C92" i="1"/>
  <c r="B94" i="1"/>
  <c r="B96" i="1" l="1"/>
  <c r="C94" i="1"/>
  <c r="A94" i="1"/>
  <c r="D94" i="1" s="1"/>
  <c r="C96" i="1" l="1"/>
  <c r="B98" i="1"/>
  <c r="A96" i="1"/>
  <c r="D96" i="1" s="1"/>
  <c r="C98" i="1" l="1"/>
  <c r="B99" i="1"/>
  <c r="A98" i="1"/>
  <c r="D98" i="1" s="1"/>
  <c r="C99" i="1" l="1"/>
  <c r="B100" i="1"/>
  <c r="A99" i="1"/>
  <c r="D99" i="1" s="1"/>
  <c r="C100" i="1" l="1"/>
  <c r="B101" i="1"/>
  <c r="A100" i="1"/>
  <c r="D100" i="1" s="1"/>
  <c r="A101" i="1" l="1"/>
  <c r="D101" i="1" s="1"/>
  <c r="B102" i="1"/>
  <c r="C101" i="1"/>
  <c r="C102" i="1" l="1"/>
  <c r="B104" i="1"/>
  <c r="A102" i="1"/>
  <c r="D102" i="1" s="1"/>
  <c r="C104" i="1" l="1"/>
  <c r="B106" i="1"/>
  <c r="A104" i="1"/>
  <c r="D104" i="1" s="1"/>
  <c r="C106" i="1" l="1"/>
  <c r="A106" i="1"/>
  <c r="D106" i="1" s="1"/>
  <c r="B107" i="1"/>
  <c r="A107" i="1" l="1"/>
  <c r="D107" i="1" s="1"/>
  <c r="B111" i="1"/>
  <c r="C107" i="1"/>
  <c r="B112" i="1" l="1"/>
  <c r="C111" i="1"/>
  <c r="A111" i="1"/>
  <c r="D111" i="1" s="1"/>
  <c r="B113" i="1" l="1"/>
  <c r="C112" i="1"/>
  <c r="A112" i="1"/>
  <c r="D112" i="1" s="1"/>
  <c r="B114" i="1" l="1"/>
  <c r="C113" i="1"/>
  <c r="A113" i="1"/>
  <c r="D113" i="1" s="1"/>
  <c r="B116" i="1" l="1"/>
  <c r="A114" i="1"/>
  <c r="D114" i="1" s="1"/>
  <c r="C114" i="1"/>
  <c r="B118" i="1" l="1"/>
  <c r="C116" i="1"/>
  <c r="A116" i="1"/>
  <c r="D116" i="1" s="1"/>
  <c r="B121" i="1" l="1"/>
  <c r="A118" i="1"/>
  <c r="D118" i="1" s="1"/>
  <c r="C118" i="1"/>
  <c r="C121" i="1" l="1"/>
  <c r="B122" i="1"/>
  <c r="A121" i="1"/>
  <c r="D121" i="1" s="1"/>
  <c r="B123" i="1" l="1"/>
  <c r="A122" i="1"/>
  <c r="D122" i="1" s="1"/>
  <c r="C122" i="1"/>
  <c r="A123" i="1" l="1"/>
  <c r="D123" i="1" s="1"/>
  <c r="B124" i="1"/>
  <c r="C123" i="1"/>
  <c r="C124" i="1" l="1"/>
  <c r="A124" i="1"/>
  <c r="D124" i="1" s="1"/>
  <c r="B126" i="1"/>
  <c r="C126" i="1" l="1"/>
  <c r="A126" i="1"/>
  <c r="D126" i="1" s="1"/>
  <c r="B129" i="1"/>
  <c r="B130" i="1" l="1"/>
  <c r="A129" i="1"/>
  <c r="D129" i="1" s="1"/>
  <c r="C129" i="1"/>
  <c r="A130" i="1" l="1"/>
  <c r="D130" i="1" s="1"/>
  <c r="B131" i="1"/>
  <c r="C130" i="1"/>
  <c r="B132" i="1" l="1"/>
  <c r="C131" i="1"/>
  <c r="A131" i="1"/>
  <c r="D131" i="1" s="1"/>
  <c r="C132" i="1" l="1"/>
  <c r="A132" i="1"/>
  <c r="D132" i="1" s="1"/>
  <c r="B133" i="1"/>
  <c r="C133" i="1" l="1"/>
  <c r="B134" i="1"/>
  <c r="A133" i="1"/>
  <c r="D133" i="1" s="1"/>
  <c r="B135" i="1" l="1"/>
  <c r="A134" i="1"/>
  <c r="D134" i="1" s="1"/>
  <c r="C134" i="1"/>
  <c r="B136" i="1" l="1"/>
  <c r="C135" i="1"/>
  <c r="A135" i="1"/>
  <c r="D135" i="1" s="1"/>
  <c r="B137" i="1" l="1"/>
  <c r="C136" i="1"/>
  <c r="A136" i="1"/>
  <c r="D136" i="1" s="1"/>
  <c r="C137" i="1" l="1"/>
  <c r="B138" i="1"/>
  <c r="A137" i="1"/>
  <c r="D137" i="1" s="1"/>
  <c r="A138" i="1" l="1"/>
  <c r="D138" i="1" s="1"/>
  <c r="C138" i="1"/>
  <c r="B139" i="1"/>
  <c r="C139" i="1" l="1"/>
  <c r="A139" i="1"/>
  <c r="D139" i="1" s="1"/>
  <c r="B140" i="1"/>
  <c r="A140" i="1" l="1"/>
  <c r="D140" i="1" s="1"/>
  <c r="B141" i="1"/>
  <c r="C140" i="1"/>
  <c r="C141" i="1" l="1"/>
  <c r="A141" i="1"/>
  <c r="D141" i="1" s="1"/>
  <c r="B142" i="1"/>
  <c r="C142" i="1" l="1"/>
  <c r="A142" i="1"/>
  <c r="D142" i="1" s="1"/>
  <c r="B144" i="1"/>
  <c r="C144" i="1" l="1"/>
  <c r="A144" i="1"/>
  <c r="D144" i="1" s="1"/>
  <c r="B146" i="1"/>
  <c r="A146" i="1" l="1"/>
  <c r="D146" i="1" s="1"/>
  <c r="B148" i="1"/>
  <c r="C146" i="1"/>
  <c r="B151" i="1" l="1"/>
  <c r="C148" i="1"/>
  <c r="A148" i="1"/>
  <c r="D148" i="1" s="1"/>
  <c r="B152" i="1" l="1"/>
  <c r="C151" i="1"/>
  <c r="A151" i="1"/>
  <c r="D151" i="1" s="1"/>
  <c r="B153" i="1" l="1"/>
  <c r="C152" i="1"/>
  <c r="A152" i="1"/>
  <c r="D152" i="1" s="1"/>
  <c r="B154" i="1" l="1"/>
  <c r="A153" i="1"/>
  <c r="D153" i="1" s="1"/>
  <c r="C153" i="1"/>
  <c r="B155" i="1" l="1"/>
  <c r="C154" i="1"/>
  <c r="A154" i="1"/>
  <c r="D154" i="1" s="1"/>
  <c r="B157" i="1" l="1"/>
  <c r="C155" i="1"/>
  <c r="A155" i="1"/>
  <c r="D155" i="1" s="1"/>
  <c r="C157" i="1" l="1"/>
  <c r="B159" i="1"/>
  <c r="A157" i="1"/>
  <c r="D157" i="1" s="1"/>
  <c r="B161" i="1" l="1"/>
  <c r="A159" i="1"/>
  <c r="D159" i="1" s="1"/>
  <c r="C159" i="1"/>
  <c r="A161" i="1" l="1"/>
  <c r="D161" i="1" s="1"/>
  <c r="B162" i="1"/>
  <c r="C161" i="1"/>
  <c r="B163" i="1" l="1"/>
  <c r="C162" i="1"/>
  <c r="A162" i="1"/>
  <c r="D162" i="1" s="1"/>
  <c r="C163" i="1" l="1"/>
  <c r="A163" i="1"/>
  <c r="D163" i="1" s="1"/>
  <c r="B164" i="1"/>
  <c r="B166" i="1" l="1"/>
  <c r="C164" i="1"/>
  <c r="A164" i="1"/>
  <c r="D164" i="1" s="1"/>
  <c r="A166" i="1" l="1"/>
  <c r="D166" i="1" s="1"/>
  <c r="B167" i="1"/>
  <c r="C166" i="1"/>
  <c r="B170" i="1" l="1"/>
  <c r="C167" i="1"/>
  <c r="A167" i="1"/>
  <c r="D167" i="1" s="1"/>
  <c r="C170" i="1" l="1"/>
  <c r="A170" i="1"/>
  <c r="D170" i="1" s="1"/>
  <c r="B171" i="1"/>
  <c r="C171" i="1" l="1"/>
  <c r="A171" i="1"/>
  <c r="D171" i="1" s="1"/>
  <c r="B172" i="1"/>
  <c r="B173" i="1" l="1"/>
  <c r="A172" i="1"/>
  <c r="D172" i="1" s="1"/>
  <c r="C172" i="1"/>
  <c r="B175" i="1" l="1"/>
  <c r="C173" i="1"/>
  <c r="A173" i="1"/>
  <c r="D173" i="1" s="1"/>
  <c r="A175" i="1" l="1"/>
  <c r="D175" i="1" s="1"/>
  <c r="B177" i="1"/>
  <c r="C175" i="1"/>
  <c r="C177" i="1" l="1"/>
  <c r="A177" i="1"/>
  <c r="D177" i="1" s="1"/>
  <c r="B178" i="1"/>
  <c r="B180" i="1" l="1"/>
  <c r="A178" i="1"/>
  <c r="D178" i="1" s="1"/>
  <c r="C178" i="1"/>
  <c r="B181" i="1" l="1"/>
  <c r="C180" i="1"/>
  <c r="A180" i="1"/>
  <c r="D180" i="1" s="1"/>
  <c r="A181" i="1" l="1"/>
  <c r="D181" i="1" s="1"/>
  <c r="B182" i="1"/>
  <c r="C181" i="1"/>
  <c r="C182" i="1" l="1"/>
  <c r="A182" i="1"/>
  <c r="D182" i="1" s="1"/>
  <c r="B183" i="1"/>
  <c r="C183" i="1" l="1"/>
  <c r="B184" i="1"/>
  <c r="A183" i="1"/>
  <c r="D183" i="1" s="1"/>
  <c r="C184" i="1" l="1"/>
  <c r="A184" i="1"/>
  <c r="D184" i="1" s="1"/>
  <c r="B186" i="1"/>
  <c r="A186" i="1" l="1"/>
  <c r="D186" i="1" s="1"/>
  <c r="B188" i="1"/>
  <c r="C186" i="1"/>
  <c r="C188" i="1" l="1"/>
  <c r="A188" i="1"/>
  <c r="D188" i="1" s="1"/>
  <c r="B190" i="1"/>
  <c r="B194" i="1" l="1"/>
  <c r="C190" i="1"/>
  <c r="A190" i="1"/>
  <c r="D190" i="1" s="1"/>
  <c r="C194" i="1" l="1"/>
  <c r="B195" i="1"/>
  <c r="A194" i="1"/>
  <c r="D194" i="1" s="1"/>
  <c r="B196" i="1" l="1"/>
  <c r="A195" i="1"/>
  <c r="D195" i="1" s="1"/>
  <c r="C195" i="1"/>
  <c r="B197" i="1" l="1"/>
  <c r="C196" i="1"/>
  <c r="A196" i="1"/>
  <c r="D196" i="1" s="1"/>
  <c r="B200" i="1" l="1"/>
  <c r="C197" i="1"/>
  <c r="A197" i="1"/>
  <c r="D197" i="1" s="1"/>
  <c r="C200" i="1" l="1"/>
  <c r="B203" i="1"/>
  <c r="A200" i="1"/>
  <c r="D200" i="1" s="1"/>
  <c r="B206" i="1" l="1"/>
  <c r="A203" i="1"/>
  <c r="D203" i="1" s="1"/>
  <c r="C203" i="1"/>
  <c r="C206" i="1" l="1"/>
  <c r="A206" i="1"/>
  <c r="D206" i="1" s="1"/>
  <c r="B207" i="1"/>
  <c r="B208" i="1" l="1"/>
  <c r="C207" i="1"/>
  <c r="A207" i="1"/>
  <c r="D207" i="1" s="1"/>
  <c r="C208" i="1" l="1"/>
  <c r="A208" i="1"/>
  <c r="D208" i="1" s="1"/>
  <c r="B209" i="1"/>
  <c r="B210" i="1" l="1"/>
  <c r="C209" i="1"/>
  <c r="A209" i="1"/>
  <c r="D209" i="1" s="1"/>
  <c r="C210" i="1" l="1"/>
  <c r="A210" i="1"/>
  <c r="D210" i="1" s="1"/>
  <c r="B212" i="1"/>
  <c r="B215" i="1" l="1"/>
  <c r="C212" i="1"/>
  <c r="A212" i="1"/>
  <c r="D212" i="1" s="1"/>
  <c r="C215" i="1" l="1"/>
  <c r="A215" i="1"/>
  <c r="D215" i="1" s="1"/>
  <c r="B219" i="1"/>
  <c r="B221" i="1" l="1"/>
  <c r="C219" i="1"/>
  <c r="A219" i="1"/>
  <c r="D219" i="1" s="1"/>
  <c r="B222" i="1" l="1"/>
  <c r="C221" i="1"/>
  <c r="A221" i="1"/>
  <c r="D221" i="1" s="1"/>
  <c r="B223" i="1" l="1"/>
  <c r="C222" i="1"/>
  <c r="A222" i="1"/>
  <c r="D222" i="1" s="1"/>
  <c r="A223" i="1" l="1"/>
  <c r="D223" i="1" s="1"/>
  <c r="B225" i="1"/>
  <c r="C223" i="1"/>
  <c r="B228" i="1" l="1"/>
  <c r="C225" i="1"/>
  <c r="A225" i="1"/>
  <c r="D225" i="1" s="1"/>
  <c r="B232" i="1" l="1"/>
  <c r="C228" i="1"/>
  <c r="A228" i="1"/>
  <c r="D228" i="1" s="1"/>
  <c r="B234" i="1" l="1"/>
  <c r="C232" i="1"/>
  <c r="A232" i="1"/>
  <c r="D232" i="1" s="1"/>
  <c r="A234" i="1" l="1"/>
  <c r="D234" i="1" s="1"/>
  <c r="B236" i="1"/>
  <c r="C234" i="1"/>
  <c r="B237" i="1" l="1"/>
  <c r="C236" i="1"/>
  <c r="A236" i="1"/>
  <c r="D236" i="1" s="1"/>
  <c r="B238" i="1" l="1"/>
  <c r="C237" i="1"/>
  <c r="A237" i="1"/>
  <c r="D237" i="1" s="1"/>
  <c r="C238" i="1" l="1"/>
  <c r="A238" i="1"/>
  <c r="D238" i="1" s="1"/>
  <c r="B241" i="1"/>
  <c r="A241" i="1" l="1"/>
  <c r="D241" i="1" s="1"/>
  <c r="B246" i="1"/>
  <c r="C241" i="1"/>
  <c r="B248" i="1" l="1"/>
  <c r="C246" i="1"/>
  <c r="A246" i="1"/>
  <c r="D246" i="1" s="1"/>
  <c r="B252" i="1" l="1"/>
  <c r="C248" i="1"/>
  <c r="A248" i="1"/>
  <c r="D248" i="1" s="1"/>
  <c r="C252" i="1" l="1"/>
  <c r="A252" i="1"/>
  <c r="D252" i="1" s="1"/>
  <c r="B253" i="1"/>
  <c r="B254" i="1" l="1"/>
  <c r="C253" i="1"/>
  <c r="A253" i="1"/>
  <c r="D253" i="1" s="1"/>
  <c r="B255" i="1" l="1"/>
  <c r="C254" i="1"/>
  <c r="A254" i="1"/>
  <c r="D254" i="1" s="1"/>
  <c r="B258" i="1" l="1"/>
  <c r="A255" i="1"/>
  <c r="D255" i="1" s="1"/>
  <c r="C255" i="1"/>
  <c r="C258" i="1" l="1"/>
  <c r="A258" i="1"/>
  <c r="D258" i="1" s="1"/>
  <c r="B262" i="1"/>
  <c r="B264" i="1" l="1"/>
  <c r="C262" i="1"/>
  <c r="A262" i="1"/>
  <c r="D262" i="1" s="1"/>
  <c r="B267" i="1" l="1"/>
  <c r="C264" i="1"/>
  <c r="A264" i="1"/>
  <c r="D264" i="1" s="1"/>
  <c r="B268" i="1" l="1"/>
  <c r="A267" i="1"/>
  <c r="D267" i="1" s="1"/>
  <c r="C267" i="1"/>
  <c r="C268" i="1" l="1"/>
  <c r="A268" i="1"/>
  <c r="D268" i="1" s="1"/>
  <c r="B269" i="1"/>
  <c r="B270" i="1" l="1"/>
  <c r="C269" i="1"/>
  <c r="A269" i="1"/>
  <c r="D269" i="1" s="1"/>
  <c r="C270" i="1" l="1"/>
  <c r="A270" i="1"/>
  <c r="D270" i="1" s="1"/>
  <c r="B271" i="1"/>
  <c r="B273" i="1" l="1"/>
  <c r="C271" i="1"/>
  <c r="A271" i="1"/>
  <c r="D271" i="1" s="1"/>
  <c r="C273" i="1" l="1"/>
  <c r="A273" i="1"/>
  <c r="D273" i="1" s="1"/>
  <c r="B274" i="1"/>
  <c r="B276" i="1" l="1"/>
  <c r="C274" i="1"/>
  <c r="A274" i="1"/>
  <c r="D274" i="1" s="1"/>
  <c r="B277" i="1" l="1"/>
  <c r="C276" i="1"/>
  <c r="A276" i="1"/>
  <c r="D276" i="1" s="1"/>
  <c r="B278" i="1" l="1"/>
  <c r="C277" i="1"/>
  <c r="A277" i="1"/>
  <c r="D277" i="1" s="1"/>
  <c r="A278" i="1" l="1"/>
  <c r="D278" i="1" s="1"/>
  <c r="B279" i="1"/>
  <c r="C278" i="1"/>
  <c r="B281" i="1" l="1"/>
  <c r="C279" i="1"/>
  <c r="A279" i="1"/>
  <c r="D279" i="1" s="1"/>
  <c r="B282" i="1" l="1"/>
  <c r="C281" i="1"/>
  <c r="A281" i="1"/>
  <c r="D281" i="1" s="1"/>
  <c r="B284" i="1" l="1"/>
  <c r="C282" i="1"/>
  <c r="A282" i="1"/>
  <c r="D282" i="1" s="1"/>
  <c r="A284" i="1" l="1"/>
  <c r="D284" i="1" s="1"/>
  <c r="B286" i="1"/>
  <c r="C284" i="1"/>
  <c r="B287" i="1" l="1"/>
  <c r="C286" i="1"/>
  <c r="A286" i="1"/>
  <c r="D286" i="1" s="1"/>
  <c r="B288" i="1" l="1"/>
  <c r="C287" i="1"/>
  <c r="A287" i="1"/>
  <c r="D287" i="1" s="1"/>
  <c r="C288" i="1" l="1"/>
  <c r="A288" i="1"/>
  <c r="D288" i="1" s="1"/>
  <c r="B289" i="1"/>
  <c r="A289" i="1" l="1"/>
  <c r="D289" i="1" s="1"/>
  <c r="B292" i="1"/>
  <c r="C289" i="1"/>
  <c r="B295" i="1" l="1"/>
  <c r="C292" i="1"/>
  <c r="A292" i="1"/>
  <c r="D292" i="1" s="1"/>
  <c r="B296" i="1" l="1"/>
  <c r="C295" i="1"/>
  <c r="A295" i="1"/>
  <c r="D295" i="1" s="1"/>
  <c r="C296" i="1" l="1"/>
  <c r="A296" i="1"/>
  <c r="D296" i="1" s="1"/>
  <c r="B297" i="1"/>
  <c r="A297" i="1" l="1"/>
  <c r="D297" i="1" s="1"/>
  <c r="B298" i="1"/>
  <c r="C297" i="1"/>
  <c r="B299" i="1" l="1"/>
  <c r="C298" i="1"/>
  <c r="A298" i="1"/>
  <c r="D298" i="1" s="1"/>
  <c r="B300" i="1" l="1"/>
  <c r="A299" i="1"/>
  <c r="D299" i="1" s="1"/>
  <c r="C299" i="1"/>
  <c r="C300" i="1" l="1"/>
  <c r="A300" i="1"/>
  <c r="D300" i="1" s="1"/>
  <c r="B301" i="1"/>
  <c r="B302" i="1" l="1"/>
  <c r="C301" i="1"/>
  <c r="A301" i="1"/>
  <c r="D301" i="1" s="1"/>
  <c r="B305" i="1" l="1"/>
  <c r="C302" i="1"/>
  <c r="A302" i="1"/>
  <c r="D302" i="1" s="1"/>
  <c r="B308" i="1" l="1"/>
  <c r="A305" i="1"/>
  <c r="D305" i="1" s="1"/>
  <c r="C305" i="1"/>
  <c r="C308" i="1" l="1"/>
  <c r="A308" i="1"/>
  <c r="D308" i="1" s="1"/>
  <c r="B310" i="1"/>
  <c r="B311" i="1" l="1"/>
  <c r="C310" i="1"/>
  <c r="A310" i="1"/>
  <c r="D310" i="1" s="1"/>
  <c r="C311" i="1" l="1"/>
  <c r="A311" i="1"/>
  <c r="D311" i="1" s="1"/>
  <c r="B312" i="1"/>
  <c r="B313" i="1" l="1"/>
  <c r="C312" i="1"/>
  <c r="A312" i="1"/>
  <c r="D312" i="1" s="1"/>
  <c r="C313" i="1" l="1"/>
  <c r="A313" i="1"/>
  <c r="D313" i="1" s="1"/>
  <c r="B315" i="1"/>
  <c r="B316" i="1" l="1"/>
  <c r="C315" i="1"/>
  <c r="A315" i="1"/>
  <c r="D315" i="1" s="1"/>
  <c r="C316" i="1" l="1"/>
  <c r="A316" i="1"/>
  <c r="D316" i="1" s="1"/>
  <c r="B317" i="1"/>
  <c r="B318" i="1" l="1"/>
  <c r="C317" i="1"/>
  <c r="A317" i="1"/>
  <c r="D317" i="1" s="1"/>
  <c r="A318" i="1" l="1"/>
  <c r="D318" i="1" s="1"/>
  <c r="B319" i="1"/>
  <c r="C318" i="1"/>
  <c r="B320" i="1" l="1"/>
  <c r="C319" i="1"/>
  <c r="A319" i="1"/>
  <c r="D319" i="1" s="1"/>
  <c r="B321" i="1" l="1"/>
  <c r="C320" i="1"/>
  <c r="A320" i="1"/>
  <c r="D320" i="1" s="1"/>
  <c r="B322" i="1" l="1"/>
  <c r="C321" i="1"/>
  <c r="A321" i="1"/>
  <c r="D321" i="1" s="1"/>
  <c r="A322" i="1" l="1"/>
  <c r="D322" i="1" s="1"/>
  <c r="B323" i="1"/>
  <c r="C322" i="1"/>
  <c r="B324" i="1" l="1"/>
  <c r="C323" i="1"/>
  <c r="A323" i="1"/>
  <c r="D323" i="1" s="1"/>
  <c r="B325" i="1" l="1"/>
  <c r="C324" i="1"/>
  <c r="A324" i="1"/>
  <c r="D324" i="1" s="1"/>
  <c r="C325" i="1" l="1"/>
  <c r="A325" i="1"/>
  <c r="D325" i="1" s="1"/>
  <c r="B326" i="1"/>
  <c r="A326" i="1" l="1"/>
  <c r="D326" i="1" s="1"/>
  <c r="B327" i="1"/>
  <c r="C326" i="1"/>
  <c r="B328" i="1" l="1"/>
  <c r="C327" i="1"/>
  <c r="A327" i="1"/>
  <c r="D327" i="1" s="1"/>
  <c r="B330" i="1" l="1"/>
  <c r="C328" i="1"/>
  <c r="A328" i="1"/>
  <c r="D328" i="1" s="1"/>
  <c r="C330" i="1" l="1"/>
  <c r="A330" i="1"/>
  <c r="D330" i="1" s="1"/>
  <c r="B332" i="1"/>
  <c r="A332" i="1" l="1"/>
  <c r="D332" i="1" s="1"/>
  <c r="B334" i="1"/>
  <c r="C332" i="1"/>
  <c r="B336" i="1" l="1"/>
  <c r="C334" i="1"/>
  <c r="A334" i="1"/>
  <c r="D334" i="1" s="1"/>
  <c r="B337" i="1" l="1"/>
  <c r="C336" i="1"/>
  <c r="A336" i="1"/>
  <c r="D336" i="1" s="1"/>
  <c r="C337" i="1" l="1"/>
  <c r="A337" i="1"/>
  <c r="D337" i="1" s="1"/>
  <c r="B338" i="1"/>
  <c r="B341" i="1" l="1"/>
  <c r="C338" i="1"/>
  <c r="A338" i="1"/>
  <c r="D338" i="1" s="1"/>
  <c r="B344" i="1" l="1"/>
  <c r="C341" i="1"/>
  <c r="A341" i="1"/>
  <c r="D341" i="1" s="1"/>
  <c r="B346" i="1" l="1"/>
  <c r="C344" i="1"/>
  <c r="A344" i="1"/>
  <c r="D344" i="1" s="1"/>
  <c r="C346" i="1" l="1"/>
  <c r="A346" i="1"/>
  <c r="D346" i="1" s="1"/>
  <c r="B348" i="1"/>
  <c r="B350" i="1" l="1"/>
  <c r="C348" i="1"/>
  <c r="A348" i="1"/>
  <c r="D348" i="1" s="1"/>
  <c r="B351" i="1" l="1"/>
  <c r="C350" i="1"/>
  <c r="A350" i="1"/>
  <c r="D350" i="1" s="1"/>
  <c r="B352" i="1" l="1"/>
  <c r="C351" i="1"/>
  <c r="A351" i="1"/>
  <c r="D351" i="1" s="1"/>
  <c r="C352" i="1" l="1"/>
  <c r="A352" i="1"/>
  <c r="D352" i="1" s="1"/>
  <c r="B354" i="1"/>
  <c r="B357" i="1" l="1"/>
  <c r="C354" i="1"/>
  <c r="A354" i="1"/>
  <c r="D354" i="1" s="1"/>
  <c r="B359" i="1" l="1"/>
  <c r="C357" i="1"/>
  <c r="A357" i="1"/>
  <c r="D357" i="1" s="1"/>
  <c r="B360" i="1" l="1"/>
  <c r="C359" i="1"/>
  <c r="A359" i="1"/>
  <c r="D359" i="1" s="1"/>
  <c r="C360" i="1" l="1"/>
  <c r="A360" i="1"/>
  <c r="D360" i="1" s="1"/>
  <c r="B363" i="1"/>
  <c r="B364" i="1" l="1"/>
  <c r="C363" i="1"/>
  <c r="A363" i="1"/>
  <c r="D363" i="1" s="1"/>
  <c r="B365" i="1" l="1"/>
  <c r="C364" i="1"/>
  <c r="A364" i="1"/>
  <c r="D364" i="1" s="1"/>
  <c r="B368" i="1" l="1"/>
  <c r="C365" i="1"/>
  <c r="A365" i="1"/>
  <c r="D365" i="1" s="1"/>
  <c r="A368" i="1" l="1"/>
  <c r="D368" i="1" s="1"/>
  <c r="B369" i="1"/>
  <c r="C368" i="1"/>
  <c r="B370" i="1" l="1"/>
  <c r="C369" i="1"/>
  <c r="A369" i="1"/>
  <c r="D369" i="1" s="1"/>
  <c r="B371" i="1" l="1"/>
  <c r="C370" i="1"/>
  <c r="A370" i="1"/>
  <c r="D370" i="1" s="1"/>
  <c r="C371" i="1" l="1"/>
  <c r="A371" i="1"/>
  <c r="D371" i="1" s="1"/>
  <c r="B372" i="1"/>
  <c r="A372" i="1" l="1"/>
  <c r="D372" i="1" s="1"/>
  <c r="B373" i="1"/>
  <c r="C372" i="1"/>
  <c r="B374" i="1" l="1"/>
  <c r="C373" i="1"/>
  <c r="A373" i="1"/>
  <c r="D373" i="1" s="1"/>
  <c r="B375" i="1" l="1"/>
  <c r="C374" i="1"/>
  <c r="A374" i="1"/>
  <c r="D374" i="1" s="1"/>
  <c r="C375" i="1" l="1"/>
  <c r="A375" i="1"/>
  <c r="D375" i="1" s="1"/>
  <c r="B376" i="1"/>
  <c r="A376" i="1" l="1"/>
  <c r="D376" i="1" s="1"/>
  <c r="B377" i="1"/>
  <c r="C376" i="1"/>
  <c r="B378" i="1" l="1"/>
  <c r="C377" i="1"/>
  <c r="A377" i="1"/>
  <c r="D377" i="1" s="1"/>
  <c r="B379" i="1" l="1"/>
  <c r="C378" i="1"/>
  <c r="A378" i="1"/>
  <c r="D378" i="1" s="1"/>
  <c r="C379" i="1" l="1"/>
  <c r="A379" i="1"/>
  <c r="D379" i="1" s="1"/>
  <c r="B380" i="1"/>
  <c r="B381" i="1" l="1"/>
  <c r="C380" i="1"/>
  <c r="A380" i="1"/>
  <c r="D380" i="1" s="1"/>
  <c r="B382" i="1" l="1"/>
  <c r="C381" i="1"/>
  <c r="A381" i="1"/>
  <c r="D381" i="1" s="1"/>
  <c r="B383" i="1" l="1"/>
  <c r="C382" i="1"/>
  <c r="A382" i="1"/>
  <c r="D382" i="1" s="1"/>
  <c r="C383" i="1" l="1"/>
  <c r="A383" i="1"/>
  <c r="D383" i="1" s="1"/>
  <c r="B384" i="1"/>
  <c r="B385" i="1" l="1"/>
  <c r="C384" i="1"/>
  <c r="A384" i="1"/>
  <c r="D384" i="1" s="1"/>
  <c r="B386" i="1" l="1"/>
  <c r="C385" i="1"/>
  <c r="A385" i="1"/>
  <c r="D385" i="1" s="1"/>
  <c r="B387" i="1" l="1"/>
  <c r="C386" i="1"/>
  <c r="A386" i="1"/>
  <c r="D386" i="1" s="1"/>
  <c r="C387" i="1" l="1"/>
  <c r="A387" i="1"/>
  <c r="D387" i="1" s="1"/>
  <c r="B388" i="1"/>
  <c r="B389" i="1" l="1"/>
  <c r="C388" i="1"/>
  <c r="A388" i="1"/>
  <c r="D388" i="1" s="1"/>
  <c r="B390" i="1" l="1"/>
  <c r="C389" i="1"/>
  <c r="A389" i="1"/>
  <c r="D389" i="1" s="1"/>
  <c r="B391" i="1" l="1"/>
  <c r="C390" i="1"/>
  <c r="A390" i="1"/>
  <c r="D390" i="1" s="1"/>
  <c r="C391" i="1" l="1"/>
  <c r="A391" i="1"/>
  <c r="D391" i="1" s="1"/>
  <c r="B392" i="1"/>
  <c r="B393" i="1" l="1"/>
  <c r="C392" i="1"/>
  <c r="A392" i="1"/>
  <c r="D392" i="1" s="1"/>
  <c r="B394" i="1" l="1"/>
  <c r="C393" i="1"/>
  <c r="A393" i="1"/>
  <c r="D393" i="1" s="1"/>
  <c r="B395" i="1" l="1"/>
  <c r="C394" i="1"/>
  <c r="A394" i="1"/>
  <c r="D394" i="1" s="1"/>
  <c r="C395" i="1" l="1"/>
  <c r="A395" i="1"/>
  <c r="D395" i="1" s="1"/>
  <c r="B396" i="1"/>
  <c r="B397" i="1" l="1"/>
  <c r="C396" i="1"/>
  <c r="A396" i="1"/>
  <c r="D396" i="1" s="1"/>
  <c r="B398" i="1" l="1"/>
  <c r="C397" i="1"/>
  <c r="A397" i="1"/>
  <c r="D397" i="1" s="1"/>
  <c r="B399" i="1" l="1"/>
  <c r="C398" i="1"/>
  <c r="A398" i="1"/>
  <c r="D398" i="1" s="1"/>
  <c r="C399" i="1" l="1"/>
  <c r="A399" i="1"/>
  <c r="D399" i="1" s="1"/>
  <c r="B400" i="1"/>
  <c r="B401" i="1" l="1"/>
  <c r="C400" i="1"/>
  <c r="A400" i="1"/>
  <c r="D400" i="1" s="1"/>
  <c r="B402" i="1" l="1"/>
  <c r="C401" i="1"/>
  <c r="A401" i="1"/>
  <c r="D401" i="1" s="1"/>
  <c r="B403" i="1" l="1"/>
  <c r="C402" i="1"/>
  <c r="A402" i="1"/>
  <c r="D402" i="1" s="1"/>
  <c r="C403" i="1" l="1"/>
  <c r="A403" i="1"/>
  <c r="D403" i="1" s="1"/>
  <c r="B404" i="1"/>
  <c r="B405" i="1" l="1"/>
  <c r="C404" i="1"/>
  <c r="A404" i="1"/>
  <c r="D404" i="1" s="1"/>
  <c r="B406" i="1" l="1"/>
  <c r="C405" i="1"/>
  <c r="A405" i="1"/>
  <c r="D405" i="1" s="1"/>
  <c r="B407" i="1" l="1"/>
  <c r="C406" i="1"/>
  <c r="A406" i="1"/>
  <c r="D406" i="1" s="1"/>
  <c r="C407" i="1" l="1"/>
  <c r="A407" i="1"/>
  <c r="D407" i="1" s="1"/>
  <c r="B408" i="1"/>
  <c r="B409" i="1" l="1"/>
  <c r="C408" i="1"/>
  <c r="A408" i="1"/>
  <c r="D408" i="1" s="1"/>
  <c r="B410" i="1" l="1"/>
  <c r="C409" i="1"/>
  <c r="A409" i="1"/>
  <c r="D409" i="1" s="1"/>
  <c r="B411" i="1" l="1"/>
  <c r="C410" i="1"/>
  <c r="A410" i="1"/>
  <c r="D410" i="1" s="1"/>
  <c r="C411" i="1" l="1"/>
  <c r="A411" i="1"/>
  <c r="D411" i="1" s="1"/>
  <c r="B412" i="1"/>
  <c r="B413" i="1" l="1"/>
  <c r="C412" i="1"/>
  <c r="A412" i="1"/>
  <c r="D412" i="1" s="1"/>
  <c r="B414" i="1" l="1"/>
  <c r="C413" i="1"/>
  <c r="A413" i="1"/>
  <c r="D413" i="1" s="1"/>
  <c r="B415" i="1" l="1"/>
  <c r="C414" i="1"/>
  <c r="A414" i="1"/>
  <c r="D414" i="1" s="1"/>
  <c r="C415" i="1" l="1"/>
  <c r="A415" i="1"/>
  <c r="D415" i="1" s="1"/>
  <c r="B416" i="1"/>
  <c r="B417" i="1" l="1"/>
  <c r="C416" i="1"/>
  <c r="A416" i="1"/>
  <c r="D416" i="1" s="1"/>
  <c r="B418" i="1" l="1"/>
  <c r="C417" i="1"/>
  <c r="A417" i="1"/>
  <c r="D417" i="1" s="1"/>
  <c r="B419" i="1" l="1"/>
  <c r="C418" i="1"/>
  <c r="A418" i="1"/>
  <c r="D418" i="1" s="1"/>
  <c r="C419" i="1" l="1"/>
  <c r="A419" i="1"/>
  <c r="D419" i="1" s="1"/>
  <c r="B420" i="1"/>
  <c r="B421" i="1" l="1"/>
  <c r="C420" i="1"/>
  <c r="A420" i="1"/>
  <c r="D420" i="1" s="1"/>
  <c r="B422" i="1" l="1"/>
  <c r="C421" i="1"/>
  <c r="A421" i="1"/>
  <c r="D421" i="1" s="1"/>
  <c r="B423" i="1" l="1"/>
  <c r="C422" i="1"/>
  <c r="A422" i="1"/>
  <c r="D422" i="1" s="1"/>
  <c r="C423" i="1" l="1"/>
  <c r="A423" i="1"/>
  <c r="D423" i="1" s="1"/>
  <c r="B424" i="1"/>
  <c r="B425" i="1" l="1"/>
  <c r="C424" i="1"/>
  <c r="A424" i="1"/>
  <c r="D424" i="1" s="1"/>
  <c r="B426" i="1" l="1"/>
  <c r="C425" i="1"/>
  <c r="A425" i="1"/>
  <c r="D425" i="1" s="1"/>
  <c r="B427" i="1" l="1"/>
  <c r="C426" i="1"/>
  <c r="A426" i="1"/>
  <c r="D426" i="1" s="1"/>
  <c r="C427" i="1" l="1"/>
  <c r="A427" i="1"/>
  <c r="D427" i="1" s="1"/>
  <c r="B428" i="1"/>
  <c r="B429" i="1" l="1"/>
  <c r="C428" i="1"/>
  <c r="A428" i="1"/>
  <c r="D428" i="1" s="1"/>
  <c r="B430" i="1" l="1"/>
  <c r="C429" i="1"/>
  <c r="A429" i="1"/>
  <c r="D429" i="1" s="1"/>
  <c r="B431" i="1" l="1"/>
  <c r="C430" i="1"/>
  <c r="A430" i="1"/>
  <c r="D430" i="1" s="1"/>
  <c r="C431" i="1" l="1"/>
  <c r="A431" i="1"/>
  <c r="D431" i="1" s="1"/>
  <c r="B432" i="1"/>
  <c r="B433" i="1" l="1"/>
  <c r="C432" i="1"/>
  <c r="A432" i="1"/>
  <c r="D432" i="1" s="1"/>
  <c r="B434" i="1" l="1"/>
  <c r="C433" i="1"/>
  <c r="A433" i="1"/>
  <c r="D433" i="1" s="1"/>
  <c r="B435" i="1" l="1"/>
  <c r="C434" i="1"/>
  <c r="A434" i="1"/>
  <c r="D434" i="1" s="1"/>
  <c r="C435" i="1" l="1"/>
  <c r="A435" i="1"/>
  <c r="D435" i="1" s="1"/>
  <c r="B436" i="1"/>
  <c r="B437" i="1" l="1"/>
  <c r="C436" i="1"/>
  <c r="A436" i="1"/>
  <c r="D436" i="1" s="1"/>
  <c r="B438" i="1" l="1"/>
  <c r="C437" i="1"/>
  <c r="A437" i="1"/>
  <c r="D437" i="1" s="1"/>
  <c r="B439" i="1" l="1"/>
  <c r="C438" i="1"/>
  <c r="A438" i="1"/>
  <c r="D438" i="1" s="1"/>
  <c r="C439" i="1" l="1"/>
  <c r="A439" i="1"/>
  <c r="D439" i="1" s="1"/>
  <c r="B440" i="1"/>
  <c r="B441" i="1" l="1"/>
  <c r="C440" i="1"/>
  <c r="A440" i="1"/>
  <c r="D440" i="1" s="1"/>
  <c r="B442" i="1" l="1"/>
  <c r="C441" i="1"/>
  <c r="A441" i="1"/>
  <c r="D441" i="1" s="1"/>
  <c r="B443" i="1" l="1"/>
  <c r="C442" i="1"/>
  <c r="A442" i="1"/>
  <c r="D442" i="1" s="1"/>
  <c r="C443" i="1" l="1"/>
  <c r="A443" i="1"/>
  <c r="D443" i="1" s="1"/>
  <c r="B444" i="1"/>
  <c r="B445" i="1" l="1"/>
  <c r="C444" i="1"/>
  <c r="A444" i="1"/>
  <c r="D444" i="1" s="1"/>
  <c r="B446" i="1" l="1"/>
  <c r="C445" i="1"/>
  <c r="A445" i="1"/>
  <c r="D445" i="1" s="1"/>
  <c r="B447" i="1" l="1"/>
  <c r="C446" i="1"/>
  <c r="A446" i="1"/>
  <c r="D446" i="1" s="1"/>
  <c r="C447" i="1" l="1"/>
  <c r="A447" i="1"/>
  <c r="D447" i="1" s="1"/>
  <c r="B448" i="1"/>
  <c r="B449" i="1" l="1"/>
  <c r="C448" i="1"/>
  <c r="A448" i="1"/>
  <c r="D448" i="1" s="1"/>
  <c r="B450" i="1" l="1"/>
  <c r="C449" i="1"/>
  <c r="A449" i="1"/>
  <c r="D449" i="1" s="1"/>
  <c r="B451" i="1" l="1"/>
  <c r="C450" i="1"/>
  <c r="A450" i="1"/>
  <c r="D450" i="1" s="1"/>
  <c r="C451" i="1" l="1"/>
  <c r="A451" i="1"/>
  <c r="D451" i="1" s="1"/>
  <c r="B452" i="1"/>
  <c r="B453" i="1" l="1"/>
  <c r="C452" i="1"/>
  <c r="A452" i="1"/>
  <c r="D452" i="1" s="1"/>
  <c r="B454" i="1" l="1"/>
  <c r="C453" i="1"/>
  <c r="A453" i="1"/>
  <c r="D453" i="1" s="1"/>
  <c r="B455" i="1" l="1"/>
  <c r="C454" i="1"/>
  <c r="A454" i="1"/>
  <c r="D454" i="1" s="1"/>
  <c r="C455" i="1" l="1"/>
  <c r="A455" i="1"/>
  <c r="D455" i="1" s="1"/>
  <c r="B456" i="1"/>
  <c r="B457" i="1" l="1"/>
  <c r="C456" i="1"/>
  <c r="A456" i="1"/>
  <c r="D456" i="1" s="1"/>
  <c r="B458" i="1" l="1"/>
  <c r="C457" i="1"/>
  <c r="A457" i="1"/>
  <c r="D457" i="1" s="1"/>
  <c r="B459" i="1" l="1"/>
  <c r="C458" i="1"/>
  <c r="A458" i="1"/>
  <c r="D458" i="1" s="1"/>
  <c r="C459" i="1" l="1"/>
  <c r="A459" i="1"/>
  <c r="D459" i="1" s="1"/>
  <c r="B460" i="1"/>
  <c r="B461" i="1" l="1"/>
  <c r="C460" i="1"/>
  <c r="A460" i="1"/>
  <c r="D460" i="1" s="1"/>
  <c r="B462" i="1" l="1"/>
  <c r="C461" i="1"/>
  <c r="A461" i="1"/>
  <c r="D461" i="1" s="1"/>
  <c r="B463" i="1" l="1"/>
  <c r="C462" i="1"/>
  <c r="A462" i="1"/>
  <c r="D462" i="1" s="1"/>
  <c r="C463" i="1" l="1"/>
  <c r="A463" i="1"/>
  <c r="D463" i="1" s="1"/>
  <c r="B464" i="1"/>
  <c r="B465" i="1" l="1"/>
  <c r="C464" i="1"/>
  <c r="A464" i="1"/>
  <c r="D464" i="1" s="1"/>
  <c r="B466" i="1" l="1"/>
  <c r="C465" i="1"/>
  <c r="A465" i="1"/>
  <c r="D465" i="1" s="1"/>
  <c r="B467" i="1" l="1"/>
  <c r="C466" i="1"/>
  <c r="A466" i="1"/>
  <c r="D466" i="1" s="1"/>
  <c r="C467" i="1" l="1"/>
  <c r="A467" i="1"/>
  <c r="D467" i="1" s="1"/>
  <c r="B468" i="1"/>
  <c r="B469" i="1" l="1"/>
  <c r="C468" i="1"/>
  <c r="A468" i="1"/>
  <c r="D468" i="1" s="1"/>
  <c r="B470" i="1" l="1"/>
  <c r="C469" i="1"/>
  <c r="A469" i="1"/>
  <c r="D469" i="1" s="1"/>
  <c r="B471" i="1" l="1"/>
  <c r="C470" i="1"/>
  <c r="A470" i="1"/>
  <c r="D470" i="1" s="1"/>
  <c r="C471" i="1" l="1"/>
  <c r="A471" i="1"/>
  <c r="D471" i="1" s="1"/>
  <c r="B472" i="1"/>
  <c r="B473" i="1" l="1"/>
  <c r="C472" i="1"/>
  <c r="A472" i="1"/>
  <c r="D472" i="1" s="1"/>
  <c r="B474" i="1" l="1"/>
  <c r="C473" i="1"/>
  <c r="A473" i="1"/>
  <c r="D473" i="1" s="1"/>
  <c r="B475" i="1" l="1"/>
  <c r="C474" i="1"/>
  <c r="A474" i="1"/>
  <c r="D474" i="1" s="1"/>
  <c r="C475" i="1" l="1"/>
  <c r="A475" i="1"/>
  <c r="D475" i="1" s="1"/>
  <c r="B476" i="1"/>
  <c r="B477" i="1" l="1"/>
  <c r="C476" i="1"/>
  <c r="A476" i="1"/>
  <c r="D476" i="1" s="1"/>
  <c r="B478" i="1" l="1"/>
  <c r="C477" i="1"/>
  <c r="A477" i="1"/>
  <c r="D477" i="1" s="1"/>
  <c r="B479" i="1" l="1"/>
  <c r="C478" i="1"/>
  <c r="A478" i="1"/>
  <c r="D478" i="1" s="1"/>
  <c r="C479" i="1" l="1"/>
  <c r="A479" i="1"/>
  <c r="D479" i="1" s="1"/>
  <c r="B480" i="1"/>
  <c r="B481" i="1" l="1"/>
  <c r="C480" i="1"/>
  <c r="A480" i="1"/>
  <c r="D480" i="1" s="1"/>
  <c r="B482" i="1" l="1"/>
  <c r="C481" i="1"/>
  <c r="A481" i="1"/>
  <c r="D481" i="1" s="1"/>
  <c r="B483" i="1" l="1"/>
  <c r="C482" i="1"/>
  <c r="A482" i="1"/>
  <c r="D482" i="1" s="1"/>
  <c r="C483" i="1" l="1"/>
  <c r="A483" i="1"/>
  <c r="D483" i="1" s="1"/>
  <c r="B484" i="1"/>
  <c r="B485" i="1" l="1"/>
  <c r="C484" i="1"/>
  <c r="A484" i="1"/>
  <c r="D484" i="1" s="1"/>
  <c r="B486" i="1" l="1"/>
  <c r="C485" i="1"/>
  <c r="A485" i="1"/>
  <c r="D485" i="1" s="1"/>
  <c r="B487" i="1" l="1"/>
  <c r="C486" i="1"/>
  <c r="A486" i="1"/>
  <c r="D486" i="1" s="1"/>
  <c r="C487" i="1" l="1"/>
  <c r="A487" i="1"/>
  <c r="D487" i="1" s="1"/>
  <c r="B488" i="1"/>
  <c r="B489" i="1" l="1"/>
  <c r="C488" i="1"/>
  <c r="A488" i="1"/>
  <c r="D488" i="1" s="1"/>
  <c r="B490" i="1" l="1"/>
  <c r="C489" i="1"/>
  <c r="A489" i="1"/>
  <c r="D489" i="1" s="1"/>
  <c r="B491" i="1" l="1"/>
  <c r="C490" i="1"/>
  <c r="A490" i="1"/>
  <c r="D490" i="1" s="1"/>
  <c r="C491" i="1" l="1"/>
  <c r="A491" i="1"/>
  <c r="D491" i="1" s="1"/>
  <c r="B492" i="1"/>
  <c r="B493" i="1" l="1"/>
  <c r="C492" i="1"/>
  <c r="A492" i="1"/>
  <c r="D492" i="1" s="1"/>
  <c r="B494" i="1" l="1"/>
  <c r="C493" i="1"/>
  <c r="A493" i="1"/>
  <c r="D493" i="1" s="1"/>
  <c r="B495" i="1" l="1"/>
  <c r="C494" i="1"/>
  <c r="A494" i="1"/>
  <c r="D494" i="1" s="1"/>
  <c r="C495" i="1" l="1"/>
  <c r="A495" i="1"/>
  <c r="D495" i="1" s="1"/>
  <c r="B496" i="1"/>
  <c r="B497" i="1" l="1"/>
  <c r="C496" i="1"/>
  <c r="A496" i="1"/>
  <c r="D496" i="1" s="1"/>
  <c r="B498" i="1" l="1"/>
  <c r="C497" i="1"/>
  <c r="A497" i="1"/>
  <c r="D497" i="1" s="1"/>
  <c r="B499" i="1" l="1"/>
  <c r="C498" i="1"/>
  <c r="A498" i="1"/>
  <c r="D498" i="1" s="1"/>
  <c r="C499" i="1" l="1"/>
  <c r="A499" i="1"/>
  <c r="D499" i="1" s="1"/>
  <c r="B500" i="1"/>
  <c r="B501" i="1" l="1"/>
  <c r="C500" i="1"/>
  <c r="A500" i="1"/>
  <c r="D500" i="1" s="1"/>
  <c r="B502" i="1" l="1"/>
  <c r="C501" i="1"/>
  <c r="A501" i="1"/>
  <c r="D501" i="1" s="1"/>
  <c r="B503" i="1" l="1"/>
  <c r="C502" i="1"/>
  <c r="A502" i="1"/>
  <c r="D502" i="1" s="1"/>
  <c r="C503" i="1" l="1"/>
  <c r="A503" i="1"/>
  <c r="D503" i="1" s="1"/>
</calcChain>
</file>

<file path=xl/sharedStrings.xml><?xml version="1.0" encoding="utf-8"?>
<sst xmlns="http://schemas.openxmlformats.org/spreadsheetml/2006/main" count="895" uniqueCount="130">
  <si>
    <t>AGRESSO</t>
  </si>
  <si>
    <t>HORAS =</t>
  </si>
  <si>
    <t>PROYECTO</t>
  </si>
  <si>
    <t>ACTIVIDAD</t>
  </si>
  <si>
    <t>DESCRIPCIÓN</t>
  </si>
  <si>
    <t>TOTAL HORAS</t>
  </si>
  <si>
    <t>FIESTA</t>
  </si>
  <si>
    <t>VABIM</t>
  </si>
  <si>
    <t>48VACACI</t>
  </si>
  <si>
    <t>VACACIONES</t>
  </si>
  <si>
    <t>33124005 EDI AVP 1-3 LIMA</t>
  </si>
  <si>
    <t>03BIM</t>
  </si>
  <si>
    <t>Pasarelas</t>
  </si>
  <si>
    <t>Pasarela T3-PP06</t>
  </si>
  <si>
    <t>GGBIM</t>
  </si>
  <si>
    <t>45 FORM</t>
  </si>
  <si>
    <t>Clases de Inglés</t>
  </si>
  <si>
    <t>Pasarela T3-PP07</t>
  </si>
  <si>
    <t>Pasarela T3-PP06 Y PP07</t>
  </si>
  <si>
    <t>PLBIM48 PLAN BIM</t>
  </si>
  <si>
    <t>46 GASGEN</t>
  </si>
  <si>
    <t>Investigar con el desarrollo de aplicaciones</t>
  </si>
  <si>
    <t>44825002 DIGITAL ENGINEERING NORTH LONDON</t>
  </si>
  <si>
    <t>175BIM</t>
  </si>
  <si>
    <t>Testing Tekla model coordination in Revit</t>
  </si>
  <si>
    <t>106I+D+I</t>
  </si>
  <si>
    <t>Desarrollo aplicaciones para trabajar con IFCs</t>
  </si>
  <si>
    <t>Webinar Descubre Autodesk AI en AECO</t>
  </si>
  <si>
    <t>Cybersecurity and Information Security</t>
  </si>
  <si>
    <t>Cumplimentar Fichas de Software UdBIM</t>
  </si>
  <si>
    <t>Reunión Ruben. Actualización proyecto Lima</t>
  </si>
  <si>
    <t>01BIM</t>
  </si>
  <si>
    <t>Corregir Muros y Barandillas en todas las pasarelas</t>
  </si>
  <si>
    <t>Reunión departamento</t>
  </si>
  <si>
    <t>Redactar situación y análisis Lima</t>
  </si>
  <si>
    <t>Pasarelas. Corregir Muros, Losa y Capitles</t>
  </si>
  <si>
    <t>Pildora Infraworks</t>
  </si>
  <si>
    <t>Webinar C# Vibe Coding. Grasshopper plugin.</t>
  </si>
  <si>
    <t>Pasarelas. Corregir Zapatas PP04 y PP07 (solicitado por Manu)</t>
  </si>
  <si>
    <t>Live Coaching Session de Civil tools in ACC Docs and Model Coord.</t>
  </si>
  <si>
    <t>Pasarelas. Corregir Zapatas PP05 y muro PP06 (solicitado por Manu)</t>
  </si>
  <si>
    <t>Preparar entrega modelos Pasarelas y Puentes</t>
  </si>
  <si>
    <t>Aprender a Desarrollar plugins para Grasshopper.</t>
  </si>
  <si>
    <t>Puentes. Añadir elementos JD a los modelos</t>
  </si>
  <si>
    <t>Desarrollo plugins para Grasshopper. Desarrollo Puentes friendly</t>
  </si>
  <si>
    <t>Curso: Uso responsable de la IA en la empresa</t>
  </si>
  <si>
    <t>Digital Academy. Sesión 1. Gen-AI Essentials</t>
  </si>
  <si>
    <t>Revisar todos los modelos. Nombres Familias/Tipos</t>
  </si>
  <si>
    <t>Pasarelas. Cambio criterio Familias/Tipos y arreglar Planos afectados</t>
  </si>
  <si>
    <t>Digital Academy. Sesión 2. IA + Analítica de Datos</t>
  </si>
  <si>
    <t>Reunión. Temas varios. Desarrollo Apps internas</t>
  </si>
  <si>
    <t>Puentes. Cambio criterio Familias/Tipos.</t>
  </si>
  <si>
    <t>Digital Academy. Sesión 3. Visual Genius. Presentaciones con AI</t>
  </si>
  <si>
    <t>Puentes. Elementos JD. Cambio criterio Familias/Tipos.</t>
  </si>
  <si>
    <t>Pasarelas. Auditar modelo de ATOP</t>
  </si>
  <si>
    <t>Puentes. Modelar elemenos JD a los 2 puentes</t>
  </si>
  <si>
    <t>Puentes. Cambio criterio Familias/Tipo</t>
  </si>
  <si>
    <t>Revisar atributos y preparar entrega</t>
  </si>
  <si>
    <t>AVP-LIMA. Revisar modelos de uruguayos.</t>
  </si>
  <si>
    <t>AVP-LIMA. Workflow Modelado Puentes</t>
  </si>
  <si>
    <t>Entrega Estructuras Tramo 3</t>
  </si>
  <si>
    <t>Primera reunión. Grupo automatización</t>
  </si>
  <si>
    <t>Excel Tracking de proyectos</t>
  </si>
  <si>
    <t>Puentes T1. Nuevos comentarios/elementos</t>
  </si>
  <si>
    <t>Webinar. Tekla Grasshopper Link 2026</t>
  </si>
  <si>
    <t>Pasarelas T1. Nuevos comentarios/elementos</t>
  </si>
  <si>
    <t>Grupo Autom. Reunión campartir ideas</t>
  </si>
  <si>
    <t>AVP-LIMA. Reunión con Isabel</t>
  </si>
  <si>
    <t>AVP-LIMA. Workflow Modelado Puentes. Ejemplos</t>
  </si>
  <si>
    <t xml:space="preserve">AVP-LIMA. Presentación Workflow BIM Puentes </t>
  </si>
  <si>
    <t>Puentes T3. Nuevos comentarios/elementos</t>
  </si>
  <si>
    <t>Pasarelas T3. Nuevos comentarios/elementos</t>
  </si>
  <si>
    <t>Puentes T3. E009. Nuevos comentarios/elementos</t>
  </si>
  <si>
    <t>BIM &amp; 3D Programmign. Reunión automatización</t>
  </si>
  <si>
    <t>Desarrollar App para Chequear IFCs</t>
  </si>
  <si>
    <t>Desarrollar App para Auditar IFCs</t>
  </si>
  <si>
    <t>From Grasshopper Tekla Live Link to Vibe Coding</t>
  </si>
  <si>
    <t>Checklist Tramo1</t>
  </si>
  <si>
    <t>Checklist Tramo3</t>
  </si>
  <si>
    <t>Review of Tekla Models provided by Hitachi</t>
  </si>
  <si>
    <t>Curso Prevención Riesgos Laborales en Oficinas</t>
  </si>
  <si>
    <t>Curso AutoCAD Civil 3D</t>
  </si>
  <si>
    <t>Desarrollo Puentes para Tender Genérico</t>
  </si>
  <si>
    <t>Mejoras de la App para Auditar IFCs</t>
  </si>
  <si>
    <t>Puentes T1. Juntas. Nuevos comentarios/elementos</t>
  </si>
  <si>
    <t>Píldora. Workflow Modelado Puentes</t>
  </si>
  <si>
    <t>Puentes T1. Nuevos comentarios. Barrera sin quiebros E003</t>
  </si>
  <si>
    <t>O26117 Ruta 57 - Chile</t>
  </si>
  <si>
    <t>00NODESG</t>
  </si>
  <si>
    <t>BIM - Estructuras</t>
  </si>
  <si>
    <t xml:space="preserve">GH Automatización puentes básicos. Entrega 30% (o Tender) </t>
  </si>
  <si>
    <t>Reunión con Deltana. Servicios de Ingeniería</t>
  </si>
  <si>
    <t>Píldora. Plugins DepBIM</t>
  </si>
  <si>
    <t>Organizarnos en el equipo de automatización</t>
  </si>
  <si>
    <t>Reunión Equipo Automatización</t>
  </si>
  <si>
    <t>Correcciones de la App para Auditar IFCs</t>
  </si>
  <si>
    <t>Puentes T1. Ajuste Barandillas en la E006 y E007</t>
  </si>
  <si>
    <t>Píldora. IFC Check</t>
  </si>
  <si>
    <t>Puentes T1. Exportaciones</t>
  </si>
  <si>
    <t>BIM - Estructuras - Reunión DDQ</t>
  </si>
  <si>
    <t>GGIA</t>
  </si>
  <si>
    <t>1ª reunión Key Players</t>
  </si>
  <si>
    <t>Uso de la IA para potenciar el desarrollo de Autom. Puentes básico</t>
  </si>
  <si>
    <t>Key Players IA - Reunión seguimiento</t>
  </si>
  <si>
    <t>Sesión formativa. Copilot Chat</t>
  </si>
  <si>
    <t>DESARRPROM</t>
  </si>
  <si>
    <t>Prompts específicos para generar código</t>
  </si>
  <si>
    <t>FORMACIA</t>
  </si>
  <si>
    <t>Formación general de uso de la IA</t>
  </si>
  <si>
    <t>Puentes T1. Ajuste Barandillas en la E006 y E007 (Pedido por Felix)</t>
  </si>
  <si>
    <t>Puentes T3. Añadir Chapas JD a los puentes 9 y 10 (Pedido por Luis A.)</t>
  </si>
  <si>
    <t>Key Players IA - Reunión Iniciativas</t>
  </si>
  <si>
    <t>Reunión coordinación</t>
  </si>
  <si>
    <t>Puentes T3. Ajustar barrera puente 10 con la de la carretera (Pedido por Luis A.)</t>
  </si>
  <si>
    <t>Pasarelas T3. Modificar rampas de la PP06 y PP07 (Rafa Rivas)</t>
  </si>
  <si>
    <t>Prompts específicos para generar código para puentes Tender</t>
  </si>
  <si>
    <t>Microsoft Copilot</t>
  </si>
  <si>
    <t>App para Tracking de proyectos</t>
  </si>
  <si>
    <t>Prompts específicos para generar código para Tracking Proyectos</t>
  </si>
  <si>
    <t>Reunión Capacidades Tekla-Revit y automatización</t>
  </si>
  <si>
    <t>Estructuras T1. Underpass E004, recorte LosaTransición (Luis A.)</t>
  </si>
  <si>
    <t>Estructuras T1. Revisión metrados todas las estructuras.</t>
  </si>
  <si>
    <t>Estructuras T3. Revisión metrados E11 y E12</t>
  </si>
  <si>
    <t>Prompts específicos para generar código para plugins de Navisworks</t>
  </si>
  <si>
    <t xml:space="preserve"> </t>
  </si>
  <si>
    <t>Estructuras T1_E0003. Actualizar Barrera según Barrera Carreteras (Felix B.)</t>
  </si>
  <si>
    <t>Estructuras T3_E0012. Actualizar Dintel, moverlo a posición correcta (Luis A.)</t>
  </si>
  <si>
    <t>33124001 Restart E6 Ranheim Vaernes</t>
  </si>
  <si>
    <t>13ESTRUC</t>
  </si>
  <si>
    <t>K62 - As-built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</si>
</sst>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;@"/>
    <numFmt numFmtId="165" formatCode="[$-C0A]mmm;@"/>
    <numFmt numFmtId="166" formatCode="ddd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5" fontId="1" fillId="3" borderId="7" xfId="0" applyNumberFormat="1" applyFont="1" applyFill="1" applyBorder="1"/>
    <xf numFmtId="164" fontId="1" fillId="3" borderId="7" xfId="0" applyNumberFormat="1" applyFont="1" applyFill="1" applyBorder="1"/>
    <xf numFmtId="166" fontId="1" fillId="3" borderId="7" xfId="0" applyNumberFormat="1" applyFont="1" applyFill="1" applyBorder="1"/>
    <xf numFmtId="1" fontId="1" fillId="3" borderId="7" xfId="0" applyNumberFormat="1" applyFont="1" applyFill="1" applyBorder="1"/>
    <xf numFmtId="0" fontId="0" fillId="4" borderId="7" xfId="0" applyFill="1" applyBorder="1"/>
    <xf numFmtId="0" fontId="6" fillId="4" borderId="7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</cellXfs>
  <cellStyles count="1">
    <cellStyle name="Normal" xfId="0" builtinId="0"/>
  </cellStyles>
  <dxfs count="725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CDF1-F928-4AD1-AFCF-B1A13EC860F3}">
  <sheetPr>
    <pageSetUpPr fitToPage="1"/>
  </sheetPr>
  <dimension ref="A1:J503"/>
  <sheetViews>
    <sheetView showGridLines="0" tabSelected="1" zoomScale="115" zoomScaleNormal="115" workbookViewId="0">
      <pane xSplit="4" ySplit="3" topLeftCell="E5" activePane="bottomRight" state="frozen"/>
      <selection pane="topRight" activeCell="F1" sqref="F1"/>
      <selection pane="bottomLeft" activeCell="A7" sqref="A7"/>
      <selection pane="bottomRight" activeCell="P15" sqref="P15"/>
    </sheetView>
  </sheetViews>
  <sheetFormatPr baseColWidth="10" defaultColWidth="11.42578125" defaultRowHeight="15" x14ac:dyDescent="0.25"/>
  <cols>
    <col min="1" max="1" width="7" style="1" customWidth="1"/>
    <col min="2" max="3" width="5.7109375" style="2" customWidth="1"/>
    <col min="4" max="4" width="5.7109375" style="3" customWidth="1"/>
    <col min="5" max="5" width="11.5703125" customWidth="1"/>
    <col min="6" max="6" width="38" style="7" bestFit="1" customWidth="1"/>
    <col min="7" max="7" width="21.5703125" style="6" bestFit="1" customWidth="1"/>
    <col min="8" max="8" width="53" style="6" bestFit="1" customWidth="1"/>
    <col min="9" max="9" width="4.42578125" style="7" customWidth="1"/>
    <col min="10" max="10" width="15.7109375" style="7" customWidth="1"/>
    <col min="11" max="19" width="10.7109375" customWidth="1"/>
    <col min="20" max="304" width="4.7109375" customWidth="1"/>
  </cols>
  <sheetData>
    <row r="1" spans="1:10" ht="15.75" thickBot="1" x14ac:dyDescent="0.3">
      <c r="A1" s="1" t="s">
        <v>0</v>
      </c>
      <c r="E1" s="4" t="s">
        <v>1</v>
      </c>
      <c r="F1" s="5">
        <f>SUBTOTAL(9,$E$4:$E$503)</f>
        <v>1271</v>
      </c>
      <c r="J1" s="8"/>
    </row>
    <row r="2" spans="1:10" s="17" customFormat="1" ht="12" x14ac:dyDescent="0.2">
      <c r="A2" s="9"/>
      <c r="B2" s="10"/>
      <c r="C2" s="10"/>
      <c r="D2" s="11"/>
      <c r="E2" s="12"/>
      <c r="F2" s="13" t="s">
        <v>2</v>
      </c>
      <c r="G2" s="13" t="s">
        <v>3</v>
      </c>
      <c r="H2" s="14" t="s">
        <v>4</v>
      </c>
      <c r="I2" s="15"/>
      <c r="J2" s="16" t="s">
        <v>5</v>
      </c>
    </row>
    <row r="3" spans="1:10" s="4" customFormat="1" x14ac:dyDescent="0.25">
      <c r="A3" s="18"/>
      <c r="B3" s="19"/>
      <c r="C3" s="19"/>
      <c r="D3" s="20"/>
      <c r="E3" s="21"/>
      <c r="F3" s="22"/>
      <c r="G3" s="22"/>
      <c r="H3" s="23"/>
      <c r="I3" s="24"/>
      <c r="J3" s="25">
        <f>SUBTOTAL(9,J4:J503)</f>
        <v>1271</v>
      </c>
    </row>
    <row r="4" spans="1:10" x14ac:dyDescent="0.25">
      <c r="A4" s="26">
        <v>46023</v>
      </c>
      <c r="B4" s="27">
        <v>46023</v>
      </c>
      <c r="C4" s="28">
        <v>46023</v>
      </c>
      <c r="D4" s="29">
        <f t="shared" ref="D4" si="0">WEEKNUM(A4)</f>
        <v>1</v>
      </c>
      <c r="E4" s="30" t="s">
        <v>6</v>
      </c>
      <c r="F4" s="31"/>
      <c r="G4" s="32"/>
      <c r="H4" s="32"/>
      <c r="I4" s="33"/>
      <c r="J4" s="34"/>
    </row>
    <row r="5" spans="1:10" x14ac:dyDescent="0.25">
      <c r="A5" s="26">
        <f t="shared" ref="A5:A60" si="1">B5</f>
        <v>46024</v>
      </c>
      <c r="B5" s="27">
        <f>+B4+1</f>
        <v>46024</v>
      </c>
      <c r="C5" s="28">
        <f t="shared" ref="C5:C60" si="2">B5</f>
        <v>46024</v>
      </c>
      <c r="D5" s="29">
        <f>WEEKNUM(A5)</f>
        <v>1</v>
      </c>
      <c r="E5" s="35">
        <v>6</v>
      </c>
      <c r="F5" s="36" t="s">
        <v>7</v>
      </c>
      <c r="G5" s="37" t="s">
        <v>8</v>
      </c>
      <c r="H5" s="37" t="s">
        <v>9</v>
      </c>
      <c r="I5" s="33"/>
      <c r="J5" s="34">
        <f>SUM(E4:E5)</f>
        <v>6</v>
      </c>
    </row>
    <row r="6" spans="1:10" x14ac:dyDescent="0.25">
      <c r="A6" s="26">
        <f t="shared" si="1"/>
        <v>46025</v>
      </c>
      <c r="B6" s="27">
        <f t="shared" ref="B6:B67" si="3">+B5+1</f>
        <v>46025</v>
      </c>
      <c r="C6" s="28">
        <f t="shared" si="2"/>
        <v>46025</v>
      </c>
      <c r="D6" s="29">
        <f t="shared" ref="D6:D60" si="4">WEEKNUM(A6)</f>
        <v>1</v>
      </c>
      <c r="E6" s="35"/>
      <c r="F6" s="36"/>
      <c r="G6" s="37"/>
      <c r="H6" s="37"/>
      <c r="I6" s="33"/>
      <c r="J6" s="34"/>
    </row>
    <row r="7" spans="1:10" x14ac:dyDescent="0.25">
      <c r="A7" s="26">
        <f t="shared" si="1"/>
        <v>46026</v>
      </c>
      <c r="B7" s="27">
        <f t="shared" si="3"/>
        <v>46026</v>
      </c>
      <c r="C7" s="28">
        <f t="shared" si="2"/>
        <v>46026</v>
      </c>
      <c r="D7" s="29">
        <f t="shared" si="4"/>
        <v>2</v>
      </c>
      <c r="E7" s="35"/>
      <c r="F7" s="33"/>
      <c r="G7" s="38"/>
      <c r="H7" s="38"/>
      <c r="I7" s="33"/>
      <c r="J7" s="34"/>
    </row>
    <row r="8" spans="1:10" x14ac:dyDescent="0.25">
      <c r="A8" s="26">
        <f t="shared" si="1"/>
        <v>46027</v>
      </c>
      <c r="B8" s="27">
        <f t="shared" si="3"/>
        <v>46027</v>
      </c>
      <c r="C8" s="28">
        <f t="shared" si="2"/>
        <v>46027</v>
      </c>
      <c r="D8" s="29">
        <f t="shared" si="4"/>
        <v>2</v>
      </c>
      <c r="E8" s="35">
        <v>8.5</v>
      </c>
      <c r="F8" s="36" t="s">
        <v>7</v>
      </c>
      <c r="G8" s="37" t="s">
        <v>8</v>
      </c>
      <c r="H8" s="37" t="s">
        <v>9</v>
      </c>
      <c r="I8" s="33"/>
      <c r="J8" s="34"/>
    </row>
    <row r="9" spans="1:10" x14ac:dyDescent="0.25">
      <c r="A9" s="26">
        <f t="shared" si="1"/>
        <v>46028</v>
      </c>
      <c r="B9" s="27">
        <f t="shared" si="3"/>
        <v>46028</v>
      </c>
      <c r="C9" s="28">
        <f t="shared" si="2"/>
        <v>46028</v>
      </c>
      <c r="D9" s="29">
        <f t="shared" si="4"/>
        <v>2</v>
      </c>
      <c r="E9" s="30" t="s">
        <v>6</v>
      </c>
      <c r="F9" s="31"/>
      <c r="G9" s="32"/>
      <c r="H9" s="32"/>
      <c r="I9" s="33"/>
      <c r="J9" s="34"/>
    </row>
    <row r="10" spans="1:10" x14ac:dyDescent="0.25">
      <c r="A10" s="26">
        <f t="shared" si="1"/>
        <v>46029</v>
      </c>
      <c r="B10" s="27">
        <f t="shared" si="3"/>
        <v>46029</v>
      </c>
      <c r="C10" s="28">
        <f t="shared" si="2"/>
        <v>46029</v>
      </c>
      <c r="D10" s="29">
        <f t="shared" si="4"/>
        <v>2</v>
      </c>
      <c r="E10" s="35">
        <v>8.5</v>
      </c>
      <c r="F10" s="36" t="s">
        <v>7</v>
      </c>
      <c r="G10" s="37" t="s">
        <v>8</v>
      </c>
      <c r="H10" s="37" t="s">
        <v>9</v>
      </c>
      <c r="I10" s="33"/>
      <c r="J10" s="34"/>
    </row>
    <row r="11" spans="1:10" x14ac:dyDescent="0.25">
      <c r="A11" s="26">
        <f t="shared" si="1"/>
        <v>46030</v>
      </c>
      <c r="B11" s="27">
        <f t="shared" si="3"/>
        <v>46030</v>
      </c>
      <c r="C11" s="28">
        <f t="shared" si="2"/>
        <v>46030</v>
      </c>
      <c r="D11" s="29">
        <f t="shared" si="4"/>
        <v>2</v>
      </c>
      <c r="E11" s="35">
        <v>8.5</v>
      </c>
      <c r="F11" s="36" t="s">
        <v>7</v>
      </c>
      <c r="G11" s="37" t="s">
        <v>8</v>
      </c>
      <c r="H11" s="37" t="s">
        <v>9</v>
      </c>
      <c r="I11" s="33"/>
      <c r="J11" s="34"/>
    </row>
    <row r="12" spans="1:10" x14ac:dyDescent="0.25">
      <c r="A12" s="26">
        <f t="shared" si="1"/>
        <v>46031</v>
      </c>
      <c r="B12" s="27">
        <f t="shared" si="3"/>
        <v>46031</v>
      </c>
      <c r="C12" s="28">
        <f t="shared" si="2"/>
        <v>46031</v>
      </c>
      <c r="D12" s="29">
        <f t="shared" si="4"/>
        <v>2</v>
      </c>
      <c r="E12" s="35">
        <v>6</v>
      </c>
      <c r="F12" s="36" t="s">
        <v>7</v>
      </c>
      <c r="G12" s="37" t="s">
        <v>8</v>
      </c>
      <c r="H12" s="37" t="s">
        <v>9</v>
      </c>
      <c r="I12" s="33"/>
      <c r="J12" s="34">
        <f>SUM(E8:E12)</f>
        <v>31.5</v>
      </c>
    </row>
    <row r="13" spans="1:10" x14ac:dyDescent="0.25">
      <c r="A13" s="26">
        <f t="shared" si="1"/>
        <v>46032</v>
      </c>
      <c r="B13" s="27">
        <f t="shared" si="3"/>
        <v>46032</v>
      </c>
      <c r="C13" s="28">
        <f t="shared" si="2"/>
        <v>46032</v>
      </c>
      <c r="D13" s="29">
        <f t="shared" si="4"/>
        <v>2</v>
      </c>
      <c r="E13" s="35"/>
      <c r="F13" s="36"/>
      <c r="G13" s="37"/>
      <c r="H13" s="37"/>
      <c r="I13" s="33"/>
      <c r="J13" s="34"/>
    </row>
    <row r="14" spans="1:10" x14ac:dyDescent="0.25">
      <c r="A14" s="26">
        <f t="shared" si="1"/>
        <v>46033</v>
      </c>
      <c r="B14" s="27">
        <f t="shared" si="3"/>
        <v>46033</v>
      </c>
      <c r="C14" s="28">
        <f t="shared" si="2"/>
        <v>46033</v>
      </c>
      <c r="D14" s="29">
        <f t="shared" si="4"/>
        <v>3</v>
      </c>
      <c r="E14" s="35"/>
      <c r="F14" s="33"/>
      <c r="G14" s="38"/>
      <c r="H14" s="38"/>
      <c r="I14" s="33"/>
      <c r="J14" s="34"/>
    </row>
    <row r="15" spans="1:10" x14ac:dyDescent="0.25">
      <c r="A15" s="26">
        <f t="shared" si="1"/>
        <v>46034</v>
      </c>
      <c r="B15" s="27">
        <f t="shared" si="3"/>
        <v>46034</v>
      </c>
      <c r="C15" s="28">
        <f t="shared" si="2"/>
        <v>46034</v>
      </c>
      <c r="D15" s="29">
        <f t="shared" si="4"/>
        <v>3</v>
      </c>
      <c r="E15" s="35">
        <v>8.5</v>
      </c>
      <c r="F15" s="36" t="s">
        <v>10</v>
      </c>
      <c r="G15" s="37" t="s">
        <v>11</v>
      </c>
      <c r="H15" s="39" t="s">
        <v>12</v>
      </c>
      <c r="I15" s="33"/>
      <c r="J15" s="34"/>
    </row>
    <row r="16" spans="1:10" x14ac:dyDescent="0.25">
      <c r="A16" s="26">
        <f t="shared" si="1"/>
        <v>46035</v>
      </c>
      <c r="B16" s="27">
        <f t="shared" si="3"/>
        <v>46035</v>
      </c>
      <c r="C16" s="28">
        <f t="shared" si="2"/>
        <v>46035</v>
      </c>
      <c r="D16" s="29">
        <f t="shared" si="4"/>
        <v>3</v>
      </c>
      <c r="E16" s="35">
        <v>8.5</v>
      </c>
      <c r="F16" s="36" t="s">
        <v>10</v>
      </c>
      <c r="G16" s="37" t="s">
        <v>11</v>
      </c>
      <c r="H16" s="39" t="s">
        <v>12</v>
      </c>
      <c r="I16" s="33"/>
      <c r="J16" s="34"/>
    </row>
    <row r="17" spans="1:10" x14ac:dyDescent="0.25">
      <c r="A17" s="26">
        <f t="shared" si="1"/>
        <v>46036</v>
      </c>
      <c r="B17" s="27">
        <f>+B16+1</f>
        <v>46036</v>
      </c>
      <c r="C17" s="28">
        <f t="shared" si="2"/>
        <v>46036</v>
      </c>
      <c r="D17" s="29">
        <f t="shared" si="4"/>
        <v>3</v>
      </c>
      <c r="E17" s="35">
        <v>8.5</v>
      </c>
      <c r="F17" s="36" t="s">
        <v>10</v>
      </c>
      <c r="G17" s="37" t="s">
        <v>11</v>
      </c>
      <c r="H17" s="39" t="s">
        <v>12</v>
      </c>
      <c r="I17" s="33"/>
      <c r="J17" s="34"/>
    </row>
    <row r="18" spans="1:10" x14ac:dyDescent="0.25">
      <c r="A18" s="26">
        <f t="shared" si="1"/>
        <v>46037</v>
      </c>
      <c r="B18" s="27">
        <f t="shared" si="3"/>
        <v>46037</v>
      </c>
      <c r="C18" s="28">
        <f t="shared" si="2"/>
        <v>46037</v>
      </c>
      <c r="D18" s="29">
        <f t="shared" si="4"/>
        <v>3</v>
      </c>
      <c r="E18" s="35">
        <v>8.5</v>
      </c>
      <c r="F18" s="36" t="s">
        <v>7</v>
      </c>
      <c r="G18" s="37" t="s">
        <v>8</v>
      </c>
      <c r="H18" s="37" t="s">
        <v>9</v>
      </c>
      <c r="I18" s="33"/>
      <c r="J18" s="34"/>
    </row>
    <row r="19" spans="1:10" x14ac:dyDescent="0.25">
      <c r="A19" s="26">
        <f t="shared" si="1"/>
        <v>46038</v>
      </c>
      <c r="B19" s="27">
        <f t="shared" si="3"/>
        <v>46038</v>
      </c>
      <c r="C19" s="28">
        <f t="shared" si="2"/>
        <v>46038</v>
      </c>
      <c r="D19" s="29">
        <f t="shared" si="4"/>
        <v>3</v>
      </c>
      <c r="E19" s="35">
        <v>6</v>
      </c>
      <c r="F19" s="36" t="s">
        <v>10</v>
      </c>
      <c r="G19" s="37" t="s">
        <v>11</v>
      </c>
      <c r="H19" s="39" t="s">
        <v>12</v>
      </c>
      <c r="I19" s="33"/>
      <c r="J19" s="34">
        <f>SUM(E15:E19)</f>
        <v>40</v>
      </c>
    </row>
    <row r="20" spans="1:10" x14ac:dyDescent="0.25">
      <c r="A20" s="26">
        <f t="shared" si="1"/>
        <v>46039</v>
      </c>
      <c r="B20" s="27">
        <f t="shared" si="3"/>
        <v>46039</v>
      </c>
      <c r="C20" s="28">
        <f t="shared" si="2"/>
        <v>46039</v>
      </c>
      <c r="D20" s="29">
        <f t="shared" si="4"/>
        <v>3</v>
      </c>
      <c r="E20" s="35"/>
      <c r="F20" s="36"/>
      <c r="G20" s="37"/>
      <c r="H20" s="37"/>
      <c r="I20" s="33"/>
      <c r="J20" s="34"/>
    </row>
    <row r="21" spans="1:10" x14ac:dyDescent="0.25">
      <c r="A21" s="26">
        <f t="shared" si="1"/>
        <v>46040</v>
      </c>
      <c r="B21" s="27">
        <f t="shared" si="3"/>
        <v>46040</v>
      </c>
      <c r="C21" s="28">
        <f t="shared" si="2"/>
        <v>46040</v>
      </c>
      <c r="D21" s="29">
        <f t="shared" si="4"/>
        <v>4</v>
      </c>
      <c r="E21" s="35"/>
      <c r="F21" s="33"/>
      <c r="G21" s="38"/>
      <c r="H21" s="38"/>
      <c r="I21" s="33"/>
      <c r="J21" s="34"/>
    </row>
    <row r="22" spans="1:10" x14ac:dyDescent="0.25">
      <c r="A22" s="26">
        <f t="shared" si="1"/>
        <v>46041</v>
      </c>
      <c r="B22" s="27">
        <f t="shared" si="3"/>
        <v>46041</v>
      </c>
      <c r="C22" s="28">
        <f t="shared" si="2"/>
        <v>46041</v>
      </c>
      <c r="D22" s="29">
        <f t="shared" si="4"/>
        <v>4</v>
      </c>
      <c r="E22" s="35">
        <v>8.5</v>
      </c>
      <c r="F22" s="36" t="s">
        <v>10</v>
      </c>
      <c r="G22" s="37" t="s">
        <v>11</v>
      </c>
      <c r="H22" s="39" t="s">
        <v>13</v>
      </c>
      <c r="I22" s="33"/>
      <c r="J22" s="34"/>
    </row>
    <row r="23" spans="1:10" x14ac:dyDescent="0.25">
      <c r="A23" s="26">
        <f t="shared" si="1"/>
        <v>46042</v>
      </c>
      <c r="B23" s="27">
        <f t="shared" si="3"/>
        <v>46042</v>
      </c>
      <c r="C23" s="28">
        <f t="shared" si="2"/>
        <v>46042</v>
      </c>
      <c r="D23" s="29">
        <f t="shared" si="4"/>
        <v>4</v>
      </c>
      <c r="E23" s="35">
        <v>1.5</v>
      </c>
      <c r="F23" s="36" t="s">
        <v>14</v>
      </c>
      <c r="G23" s="37" t="s">
        <v>15</v>
      </c>
      <c r="H23" s="37" t="s">
        <v>16</v>
      </c>
      <c r="I23" s="33"/>
      <c r="J23" s="34"/>
    </row>
    <row r="24" spans="1:10" x14ac:dyDescent="0.25">
      <c r="A24" s="26">
        <v>46042</v>
      </c>
      <c r="B24" s="27">
        <v>46042</v>
      </c>
      <c r="C24" s="28">
        <v>46042</v>
      </c>
      <c r="D24" s="29">
        <v>4</v>
      </c>
      <c r="E24" s="35">
        <v>7</v>
      </c>
      <c r="F24" s="36" t="s">
        <v>10</v>
      </c>
      <c r="G24" s="37" t="s">
        <v>11</v>
      </c>
      <c r="H24" s="39" t="s">
        <v>17</v>
      </c>
      <c r="I24" s="33"/>
      <c r="J24" s="34"/>
    </row>
    <row r="25" spans="1:10" x14ac:dyDescent="0.25">
      <c r="A25" s="26">
        <f t="shared" si="1"/>
        <v>46043</v>
      </c>
      <c r="B25" s="27">
        <f>+B23+1</f>
        <v>46043</v>
      </c>
      <c r="C25" s="28">
        <f t="shared" si="2"/>
        <v>46043</v>
      </c>
      <c r="D25" s="29">
        <f t="shared" si="4"/>
        <v>4</v>
      </c>
      <c r="E25" s="35">
        <v>8.5</v>
      </c>
      <c r="F25" s="36" t="s">
        <v>10</v>
      </c>
      <c r="G25" s="37" t="s">
        <v>11</v>
      </c>
      <c r="H25" s="39" t="s">
        <v>18</v>
      </c>
      <c r="I25" s="33"/>
      <c r="J25" s="34"/>
    </row>
    <row r="26" spans="1:10" x14ac:dyDescent="0.25">
      <c r="A26" s="26">
        <f t="shared" si="1"/>
        <v>46044</v>
      </c>
      <c r="B26" s="27">
        <f t="shared" si="3"/>
        <v>46044</v>
      </c>
      <c r="C26" s="28">
        <f t="shared" si="2"/>
        <v>46044</v>
      </c>
      <c r="D26" s="29">
        <f t="shared" si="4"/>
        <v>4</v>
      </c>
      <c r="E26" s="35">
        <v>1.5</v>
      </c>
      <c r="F26" s="36" t="s">
        <v>14</v>
      </c>
      <c r="G26" s="37" t="s">
        <v>15</v>
      </c>
      <c r="H26" s="37" t="s">
        <v>16</v>
      </c>
      <c r="I26" s="33"/>
      <c r="J26" s="34"/>
    </row>
    <row r="27" spans="1:10" x14ac:dyDescent="0.25">
      <c r="A27" s="26">
        <v>46044</v>
      </c>
      <c r="B27" s="27">
        <v>46044</v>
      </c>
      <c r="C27" s="28">
        <v>46044</v>
      </c>
      <c r="D27" s="29">
        <v>4</v>
      </c>
      <c r="E27" s="35">
        <v>2</v>
      </c>
      <c r="F27" s="36" t="s">
        <v>10</v>
      </c>
      <c r="G27" s="37" t="s">
        <v>11</v>
      </c>
      <c r="H27" s="39" t="s">
        <v>13</v>
      </c>
      <c r="I27" s="33"/>
      <c r="J27" s="34"/>
    </row>
    <row r="28" spans="1:10" x14ac:dyDescent="0.25">
      <c r="A28" s="26">
        <v>46044</v>
      </c>
      <c r="B28" s="27">
        <v>46044</v>
      </c>
      <c r="C28" s="28">
        <v>46044</v>
      </c>
      <c r="D28" s="29">
        <v>4</v>
      </c>
      <c r="E28" s="35">
        <v>5</v>
      </c>
      <c r="F28" s="36" t="s">
        <v>19</v>
      </c>
      <c r="G28" s="37" t="s">
        <v>20</v>
      </c>
      <c r="H28" s="37" t="s">
        <v>21</v>
      </c>
      <c r="I28" s="33"/>
      <c r="J28" s="34"/>
    </row>
    <row r="29" spans="1:10" x14ac:dyDescent="0.25">
      <c r="A29" s="26">
        <f t="shared" si="1"/>
        <v>46045</v>
      </c>
      <c r="B29" s="27">
        <f>+B26+1</f>
        <v>46045</v>
      </c>
      <c r="C29" s="28">
        <f t="shared" si="2"/>
        <v>46045</v>
      </c>
      <c r="D29" s="29">
        <f t="shared" si="4"/>
        <v>4</v>
      </c>
      <c r="E29" s="35">
        <v>2</v>
      </c>
      <c r="F29" s="36" t="s">
        <v>10</v>
      </c>
      <c r="G29" s="37" t="s">
        <v>11</v>
      </c>
      <c r="H29" s="39" t="s">
        <v>18</v>
      </c>
      <c r="I29" s="33"/>
      <c r="J29" s="34"/>
    </row>
    <row r="30" spans="1:10" x14ac:dyDescent="0.25">
      <c r="A30" s="26">
        <v>46045</v>
      </c>
      <c r="B30" s="27">
        <v>46045</v>
      </c>
      <c r="C30" s="28">
        <v>46045</v>
      </c>
      <c r="D30" s="29">
        <v>4</v>
      </c>
      <c r="E30" s="35">
        <v>4</v>
      </c>
      <c r="F30" s="36" t="s">
        <v>19</v>
      </c>
      <c r="G30" s="37" t="s">
        <v>20</v>
      </c>
      <c r="H30" s="37" t="s">
        <v>21</v>
      </c>
      <c r="I30" s="33"/>
      <c r="J30" s="34">
        <f>SUM(E22:E30)</f>
        <v>40</v>
      </c>
    </row>
    <row r="31" spans="1:10" x14ac:dyDescent="0.25">
      <c r="A31" s="26">
        <f t="shared" si="1"/>
        <v>46046</v>
      </c>
      <c r="B31" s="27">
        <f>+B29+1</f>
        <v>46046</v>
      </c>
      <c r="C31" s="28">
        <f t="shared" si="2"/>
        <v>46046</v>
      </c>
      <c r="D31" s="29">
        <f t="shared" si="4"/>
        <v>4</v>
      </c>
      <c r="E31" s="35"/>
      <c r="F31" s="36"/>
      <c r="G31" s="37"/>
      <c r="H31" s="37"/>
      <c r="I31" s="33"/>
      <c r="J31" s="34"/>
    </row>
    <row r="32" spans="1:10" x14ac:dyDescent="0.25">
      <c r="A32" s="26">
        <f t="shared" si="1"/>
        <v>46047</v>
      </c>
      <c r="B32" s="27">
        <f t="shared" si="3"/>
        <v>46047</v>
      </c>
      <c r="C32" s="28">
        <f t="shared" si="2"/>
        <v>46047</v>
      </c>
      <c r="D32" s="29">
        <f t="shared" si="4"/>
        <v>5</v>
      </c>
      <c r="E32" s="35"/>
      <c r="F32" s="33"/>
      <c r="G32" s="38"/>
      <c r="H32" s="38"/>
      <c r="I32" s="33"/>
      <c r="J32" s="34"/>
    </row>
    <row r="33" spans="1:10" x14ac:dyDescent="0.25">
      <c r="A33" s="26">
        <f t="shared" si="1"/>
        <v>46048</v>
      </c>
      <c r="B33" s="27">
        <f t="shared" si="3"/>
        <v>46048</v>
      </c>
      <c r="C33" s="28">
        <f t="shared" si="2"/>
        <v>46048</v>
      </c>
      <c r="D33" s="29">
        <f t="shared" si="4"/>
        <v>5</v>
      </c>
      <c r="E33" s="35">
        <v>8.5</v>
      </c>
      <c r="F33" s="36" t="s">
        <v>22</v>
      </c>
      <c r="G33" s="37" t="s">
        <v>23</v>
      </c>
      <c r="H33" s="37" t="s">
        <v>24</v>
      </c>
      <c r="I33" s="33"/>
      <c r="J33" s="34"/>
    </row>
    <row r="34" spans="1:10" x14ac:dyDescent="0.25">
      <c r="A34" s="26">
        <f t="shared" si="1"/>
        <v>46049</v>
      </c>
      <c r="B34" s="27">
        <f t="shared" si="3"/>
        <v>46049</v>
      </c>
      <c r="C34" s="28">
        <f t="shared" si="2"/>
        <v>46049</v>
      </c>
      <c r="D34" s="29">
        <f t="shared" si="4"/>
        <v>5</v>
      </c>
      <c r="E34" s="35">
        <v>1.5</v>
      </c>
      <c r="F34" s="36" t="s">
        <v>14</v>
      </c>
      <c r="G34" s="37" t="s">
        <v>15</v>
      </c>
      <c r="H34" s="37" t="s">
        <v>16</v>
      </c>
      <c r="I34" s="33"/>
      <c r="J34" s="34"/>
    </row>
    <row r="35" spans="1:10" x14ac:dyDescent="0.25">
      <c r="A35" s="26">
        <v>46049</v>
      </c>
      <c r="B35" s="27">
        <v>46049</v>
      </c>
      <c r="C35" s="28">
        <v>46049</v>
      </c>
      <c r="D35" s="29">
        <v>5</v>
      </c>
      <c r="E35" s="35">
        <v>1.5</v>
      </c>
      <c r="F35" s="36" t="s">
        <v>22</v>
      </c>
      <c r="G35" s="37" t="s">
        <v>23</v>
      </c>
      <c r="H35" s="37" t="s">
        <v>24</v>
      </c>
      <c r="I35" s="33"/>
      <c r="J35" s="34"/>
    </row>
    <row r="36" spans="1:10" x14ac:dyDescent="0.25">
      <c r="A36" s="26">
        <v>46049</v>
      </c>
      <c r="B36" s="27">
        <v>46049</v>
      </c>
      <c r="C36" s="28">
        <v>46049</v>
      </c>
      <c r="D36" s="29">
        <v>5</v>
      </c>
      <c r="E36" s="35">
        <v>5.5</v>
      </c>
      <c r="F36" s="36" t="s">
        <v>14</v>
      </c>
      <c r="G36" s="37" t="s">
        <v>25</v>
      </c>
      <c r="H36" s="37" t="s">
        <v>26</v>
      </c>
      <c r="I36" s="33"/>
      <c r="J36" s="34"/>
    </row>
    <row r="37" spans="1:10" x14ac:dyDescent="0.25">
      <c r="A37" s="26">
        <f t="shared" si="1"/>
        <v>46050</v>
      </c>
      <c r="B37" s="27">
        <f>+B34+1</f>
        <v>46050</v>
      </c>
      <c r="C37" s="28">
        <f t="shared" si="2"/>
        <v>46050</v>
      </c>
      <c r="D37" s="29">
        <f t="shared" si="4"/>
        <v>5</v>
      </c>
      <c r="E37" s="35">
        <v>1</v>
      </c>
      <c r="F37" s="36" t="s">
        <v>14</v>
      </c>
      <c r="G37" s="37" t="s">
        <v>20</v>
      </c>
      <c r="H37" s="37" t="s">
        <v>27</v>
      </c>
      <c r="I37" s="33"/>
      <c r="J37" s="34"/>
    </row>
    <row r="38" spans="1:10" x14ac:dyDescent="0.25">
      <c r="A38" s="26">
        <v>46050</v>
      </c>
      <c r="B38" s="27">
        <v>46050</v>
      </c>
      <c r="C38" s="28">
        <v>46050</v>
      </c>
      <c r="D38" s="29">
        <v>5</v>
      </c>
      <c r="E38" s="35">
        <v>7.5</v>
      </c>
      <c r="F38" s="36" t="s">
        <v>14</v>
      </c>
      <c r="G38" s="37" t="s">
        <v>25</v>
      </c>
      <c r="H38" s="37" t="s">
        <v>26</v>
      </c>
      <c r="I38" s="33"/>
      <c r="J38" s="34"/>
    </row>
    <row r="39" spans="1:10" x14ac:dyDescent="0.25">
      <c r="A39" s="26">
        <f t="shared" si="1"/>
        <v>46051</v>
      </c>
      <c r="B39" s="27">
        <f>+B37+1</f>
        <v>46051</v>
      </c>
      <c r="C39" s="28">
        <f t="shared" si="2"/>
        <v>46051</v>
      </c>
      <c r="D39" s="29">
        <f t="shared" si="4"/>
        <v>5</v>
      </c>
      <c r="E39" s="35">
        <v>1.5</v>
      </c>
      <c r="F39" s="36" t="s">
        <v>14</v>
      </c>
      <c r="G39" s="37" t="s">
        <v>15</v>
      </c>
      <c r="H39" s="37" t="s">
        <v>16</v>
      </c>
      <c r="I39" s="33"/>
      <c r="J39" s="34"/>
    </row>
    <row r="40" spans="1:10" x14ac:dyDescent="0.25">
      <c r="A40" s="26">
        <v>46051</v>
      </c>
      <c r="B40" s="27">
        <v>46051</v>
      </c>
      <c r="C40" s="28">
        <v>46051</v>
      </c>
      <c r="D40" s="29">
        <v>5</v>
      </c>
      <c r="E40" s="35">
        <v>7</v>
      </c>
      <c r="F40" s="36" t="s">
        <v>14</v>
      </c>
      <c r="G40" s="37" t="s">
        <v>25</v>
      </c>
      <c r="H40" s="37" t="s">
        <v>26</v>
      </c>
      <c r="I40" s="33"/>
      <c r="J40" s="34"/>
    </row>
    <row r="41" spans="1:10" x14ac:dyDescent="0.25">
      <c r="A41" s="26">
        <f t="shared" si="1"/>
        <v>46052</v>
      </c>
      <c r="B41" s="27">
        <f>+B39+1</f>
        <v>46052</v>
      </c>
      <c r="C41" s="28">
        <f t="shared" si="2"/>
        <v>46052</v>
      </c>
      <c r="D41" s="29">
        <f t="shared" si="4"/>
        <v>5</v>
      </c>
      <c r="E41" s="35">
        <v>5</v>
      </c>
      <c r="F41" s="36" t="s">
        <v>14</v>
      </c>
      <c r="G41" s="37" t="s">
        <v>25</v>
      </c>
      <c r="H41" s="37" t="s">
        <v>26</v>
      </c>
      <c r="I41" s="33"/>
      <c r="J41" s="34"/>
    </row>
    <row r="42" spans="1:10" x14ac:dyDescent="0.25">
      <c r="A42" s="26">
        <f t="shared" si="1"/>
        <v>46052</v>
      </c>
      <c r="B42" s="27">
        <f>+B40+1</f>
        <v>46052</v>
      </c>
      <c r="C42" s="28">
        <f t="shared" si="2"/>
        <v>46052</v>
      </c>
      <c r="D42" s="29">
        <f t="shared" si="4"/>
        <v>5</v>
      </c>
      <c r="E42" s="35">
        <v>1</v>
      </c>
      <c r="F42" s="36" t="s">
        <v>14</v>
      </c>
      <c r="G42" s="37" t="s">
        <v>15</v>
      </c>
      <c r="H42" s="37" t="s">
        <v>28</v>
      </c>
      <c r="I42" s="33"/>
      <c r="J42" s="34">
        <f>SUM(E33:E42)</f>
        <v>40</v>
      </c>
    </row>
    <row r="43" spans="1:10" x14ac:dyDescent="0.25">
      <c r="A43" s="26">
        <f t="shared" si="1"/>
        <v>46053</v>
      </c>
      <c r="B43" s="27">
        <f>+B41+1</f>
        <v>46053</v>
      </c>
      <c r="C43" s="28">
        <f t="shared" si="2"/>
        <v>46053</v>
      </c>
      <c r="D43" s="29">
        <f t="shared" si="4"/>
        <v>5</v>
      </c>
      <c r="E43" s="35"/>
      <c r="F43" s="36"/>
      <c r="G43" s="37"/>
      <c r="H43" s="37"/>
      <c r="I43" s="33"/>
      <c r="J43" s="34"/>
    </row>
    <row r="44" spans="1:10" x14ac:dyDescent="0.25">
      <c r="A44" s="26">
        <f t="shared" si="1"/>
        <v>46054</v>
      </c>
      <c r="B44" s="27">
        <f t="shared" si="3"/>
        <v>46054</v>
      </c>
      <c r="C44" s="28">
        <f t="shared" si="2"/>
        <v>46054</v>
      </c>
      <c r="D44" s="29">
        <f t="shared" si="4"/>
        <v>6</v>
      </c>
      <c r="E44" s="35"/>
      <c r="F44" s="33"/>
      <c r="G44" s="38"/>
      <c r="H44" s="38"/>
      <c r="I44" s="33"/>
      <c r="J44" s="34"/>
    </row>
    <row r="45" spans="1:10" x14ac:dyDescent="0.25">
      <c r="A45" s="26">
        <f t="shared" si="1"/>
        <v>46055</v>
      </c>
      <c r="B45" s="27">
        <f t="shared" si="3"/>
        <v>46055</v>
      </c>
      <c r="C45" s="28">
        <f t="shared" si="2"/>
        <v>46055</v>
      </c>
      <c r="D45" s="29">
        <f t="shared" si="4"/>
        <v>6</v>
      </c>
      <c r="E45" s="35">
        <v>8.5</v>
      </c>
      <c r="F45" s="36" t="s">
        <v>14</v>
      </c>
      <c r="G45" s="37" t="s">
        <v>25</v>
      </c>
      <c r="H45" s="37" t="s">
        <v>26</v>
      </c>
      <c r="I45" s="33"/>
      <c r="J45" s="34"/>
    </row>
    <row r="46" spans="1:10" x14ac:dyDescent="0.25">
      <c r="A46" s="26">
        <f t="shared" si="1"/>
        <v>46056</v>
      </c>
      <c r="B46" s="27">
        <f t="shared" si="3"/>
        <v>46056</v>
      </c>
      <c r="C46" s="28">
        <f t="shared" si="2"/>
        <v>46056</v>
      </c>
      <c r="D46" s="29">
        <f t="shared" si="4"/>
        <v>6</v>
      </c>
      <c r="E46" s="35">
        <v>8.5</v>
      </c>
      <c r="F46" s="36" t="s">
        <v>14</v>
      </c>
      <c r="G46" s="37" t="s">
        <v>25</v>
      </c>
      <c r="H46" s="37" t="s">
        <v>26</v>
      </c>
      <c r="I46" s="33"/>
      <c r="J46" s="34"/>
    </row>
    <row r="47" spans="1:10" x14ac:dyDescent="0.25">
      <c r="A47" s="26">
        <f t="shared" si="1"/>
        <v>46057</v>
      </c>
      <c r="B47" s="27">
        <f t="shared" si="3"/>
        <v>46057</v>
      </c>
      <c r="C47" s="28">
        <f t="shared" si="2"/>
        <v>46057</v>
      </c>
      <c r="D47" s="29">
        <f t="shared" si="4"/>
        <v>6</v>
      </c>
      <c r="E47" s="35">
        <v>4.5</v>
      </c>
      <c r="F47" s="36" t="s">
        <v>14</v>
      </c>
      <c r="G47" s="37" t="s">
        <v>25</v>
      </c>
      <c r="H47" s="37" t="s">
        <v>26</v>
      </c>
      <c r="I47" s="33"/>
      <c r="J47" s="34"/>
    </row>
    <row r="48" spans="1:10" x14ac:dyDescent="0.25">
      <c r="A48" s="26">
        <v>46057</v>
      </c>
      <c r="B48" s="27">
        <v>46057</v>
      </c>
      <c r="C48" s="28">
        <v>46057</v>
      </c>
      <c r="D48" s="29">
        <v>6</v>
      </c>
      <c r="E48" s="35">
        <v>4</v>
      </c>
      <c r="F48" s="36" t="s">
        <v>14</v>
      </c>
      <c r="G48" s="37" t="s">
        <v>20</v>
      </c>
      <c r="H48" s="37" t="s">
        <v>29</v>
      </c>
      <c r="I48" s="33"/>
      <c r="J48" s="34"/>
    </row>
    <row r="49" spans="1:10" x14ac:dyDescent="0.25">
      <c r="A49" s="26">
        <f t="shared" si="1"/>
        <v>46058</v>
      </c>
      <c r="B49" s="27">
        <f>+B47+1</f>
        <v>46058</v>
      </c>
      <c r="C49" s="28">
        <f t="shared" si="2"/>
        <v>46058</v>
      </c>
      <c r="D49" s="29">
        <f t="shared" si="4"/>
        <v>6</v>
      </c>
      <c r="E49" s="35">
        <v>1</v>
      </c>
      <c r="F49" s="36" t="s">
        <v>14</v>
      </c>
      <c r="G49" s="37" t="s">
        <v>20</v>
      </c>
      <c r="H49" s="37" t="s">
        <v>30</v>
      </c>
      <c r="I49" s="33"/>
      <c r="J49" s="34"/>
    </row>
    <row r="50" spans="1:10" x14ac:dyDescent="0.25">
      <c r="A50" s="26">
        <v>46058</v>
      </c>
      <c r="B50" s="27">
        <v>46058</v>
      </c>
      <c r="C50" s="28">
        <v>46058</v>
      </c>
      <c r="D50" s="29">
        <v>6</v>
      </c>
      <c r="E50" s="35">
        <v>7.5</v>
      </c>
      <c r="F50" s="36" t="s">
        <v>10</v>
      </c>
      <c r="G50" s="37" t="s">
        <v>31</v>
      </c>
      <c r="H50" s="39" t="s">
        <v>32</v>
      </c>
      <c r="I50" s="33"/>
      <c r="J50" s="34"/>
    </row>
    <row r="51" spans="1:10" x14ac:dyDescent="0.25">
      <c r="A51" s="26">
        <f t="shared" si="1"/>
        <v>46059</v>
      </c>
      <c r="B51" s="27">
        <f>+B49+1</f>
        <v>46059</v>
      </c>
      <c r="C51" s="28">
        <f t="shared" si="2"/>
        <v>46059</v>
      </c>
      <c r="D51" s="29">
        <f t="shared" si="4"/>
        <v>6</v>
      </c>
      <c r="E51" s="35">
        <v>1</v>
      </c>
      <c r="F51" s="36" t="s">
        <v>14</v>
      </c>
      <c r="G51" s="37" t="s">
        <v>20</v>
      </c>
      <c r="H51" s="37" t="s">
        <v>33</v>
      </c>
      <c r="I51" s="33"/>
      <c r="J51" s="34"/>
    </row>
    <row r="52" spans="1:10" x14ac:dyDescent="0.25">
      <c r="A52" s="26">
        <v>46059</v>
      </c>
      <c r="B52" s="27">
        <v>46059</v>
      </c>
      <c r="C52" s="28">
        <v>46059</v>
      </c>
      <c r="D52" s="29">
        <v>6</v>
      </c>
      <c r="E52" s="35">
        <v>5</v>
      </c>
      <c r="F52" s="36" t="s">
        <v>10</v>
      </c>
      <c r="G52" s="37" t="s">
        <v>31</v>
      </c>
      <c r="H52" s="39" t="s">
        <v>32</v>
      </c>
      <c r="I52" s="33"/>
      <c r="J52" s="34">
        <f>SUM(E45:E52)</f>
        <v>40</v>
      </c>
    </row>
    <row r="53" spans="1:10" x14ac:dyDescent="0.25">
      <c r="A53" s="26">
        <f t="shared" si="1"/>
        <v>46060</v>
      </c>
      <c r="B53" s="27">
        <f>+B51+1</f>
        <v>46060</v>
      </c>
      <c r="C53" s="28">
        <f t="shared" si="2"/>
        <v>46060</v>
      </c>
      <c r="D53" s="29">
        <f t="shared" si="4"/>
        <v>6</v>
      </c>
      <c r="E53" s="35"/>
      <c r="F53" s="33"/>
      <c r="G53" s="38"/>
      <c r="H53" s="38"/>
      <c r="I53" s="33"/>
      <c r="J53" s="34"/>
    </row>
    <row r="54" spans="1:10" x14ac:dyDescent="0.25">
      <c r="A54" s="26">
        <f t="shared" si="1"/>
        <v>46061</v>
      </c>
      <c r="B54" s="27">
        <f t="shared" si="3"/>
        <v>46061</v>
      </c>
      <c r="C54" s="28">
        <f t="shared" si="2"/>
        <v>46061</v>
      </c>
      <c r="D54" s="29">
        <f t="shared" si="4"/>
        <v>7</v>
      </c>
      <c r="E54" s="35"/>
      <c r="F54" s="36"/>
      <c r="G54" s="37"/>
      <c r="H54" s="37"/>
      <c r="I54" s="33"/>
      <c r="J54" s="34"/>
    </row>
    <row r="55" spans="1:10" x14ac:dyDescent="0.25">
      <c r="A55" s="26">
        <f t="shared" si="1"/>
        <v>46062</v>
      </c>
      <c r="B55" s="27">
        <f t="shared" si="3"/>
        <v>46062</v>
      </c>
      <c r="C55" s="28">
        <f t="shared" si="2"/>
        <v>46062</v>
      </c>
      <c r="D55" s="29">
        <f t="shared" si="4"/>
        <v>7</v>
      </c>
      <c r="E55" s="35">
        <v>5</v>
      </c>
      <c r="F55" s="36" t="s">
        <v>14</v>
      </c>
      <c r="G55" s="37" t="s">
        <v>20</v>
      </c>
      <c r="H55" s="37" t="s">
        <v>34</v>
      </c>
      <c r="I55" s="33"/>
      <c r="J55" s="34"/>
    </row>
    <row r="56" spans="1:10" x14ac:dyDescent="0.25">
      <c r="A56" s="26">
        <v>46062</v>
      </c>
      <c r="B56" s="27">
        <v>46062</v>
      </c>
      <c r="C56" s="28">
        <v>46062</v>
      </c>
      <c r="D56" s="29">
        <v>7</v>
      </c>
      <c r="E56" s="35">
        <v>3.5</v>
      </c>
      <c r="F56" s="36" t="s">
        <v>14</v>
      </c>
      <c r="G56" s="37" t="s">
        <v>25</v>
      </c>
      <c r="H56" s="37" t="s">
        <v>26</v>
      </c>
      <c r="I56" s="33"/>
      <c r="J56" s="34"/>
    </row>
    <row r="57" spans="1:10" x14ac:dyDescent="0.25">
      <c r="A57" s="26">
        <f t="shared" si="1"/>
        <v>46063</v>
      </c>
      <c r="B57" s="27">
        <f>+B55+1</f>
        <v>46063</v>
      </c>
      <c r="C57" s="28">
        <f t="shared" si="2"/>
        <v>46063</v>
      </c>
      <c r="D57" s="29">
        <f t="shared" si="4"/>
        <v>7</v>
      </c>
      <c r="E57" s="35">
        <v>1.5</v>
      </c>
      <c r="F57" s="36" t="s">
        <v>14</v>
      </c>
      <c r="G57" s="37" t="s">
        <v>15</v>
      </c>
      <c r="H57" s="37" t="s">
        <v>16</v>
      </c>
      <c r="I57" s="33"/>
      <c r="J57" s="34"/>
    </row>
    <row r="58" spans="1:10" x14ac:dyDescent="0.25">
      <c r="A58" s="26">
        <v>46063</v>
      </c>
      <c r="B58" s="27">
        <v>46063</v>
      </c>
      <c r="C58" s="28">
        <v>46063</v>
      </c>
      <c r="D58" s="29">
        <v>7</v>
      </c>
      <c r="E58" s="35">
        <v>7</v>
      </c>
      <c r="F58" s="36" t="s">
        <v>10</v>
      </c>
      <c r="G58" s="37" t="s">
        <v>31</v>
      </c>
      <c r="H58" s="39" t="s">
        <v>35</v>
      </c>
      <c r="I58" s="33"/>
      <c r="J58" s="34"/>
    </row>
    <row r="59" spans="1:10" x14ac:dyDescent="0.25">
      <c r="A59" s="26">
        <f t="shared" si="1"/>
        <v>46064</v>
      </c>
      <c r="B59" s="27">
        <f>+B57+1</f>
        <v>46064</v>
      </c>
      <c r="C59" s="28">
        <f t="shared" si="2"/>
        <v>46064</v>
      </c>
      <c r="D59" s="29">
        <f t="shared" si="4"/>
        <v>7</v>
      </c>
      <c r="E59" s="35">
        <v>8.5</v>
      </c>
      <c r="F59" s="36" t="s">
        <v>10</v>
      </c>
      <c r="G59" s="37" t="s">
        <v>31</v>
      </c>
      <c r="H59" s="39" t="s">
        <v>35</v>
      </c>
      <c r="I59" s="33"/>
      <c r="J59" s="34"/>
    </row>
    <row r="60" spans="1:10" x14ac:dyDescent="0.25">
      <c r="A60" s="26">
        <f t="shared" si="1"/>
        <v>46065</v>
      </c>
      <c r="B60" s="27">
        <f t="shared" si="3"/>
        <v>46065</v>
      </c>
      <c r="C60" s="28">
        <f t="shared" si="2"/>
        <v>46065</v>
      </c>
      <c r="D60" s="29">
        <f t="shared" si="4"/>
        <v>7</v>
      </c>
      <c r="E60" s="35">
        <v>1.5</v>
      </c>
      <c r="F60" s="36" t="s">
        <v>14</v>
      </c>
      <c r="G60" s="37" t="s">
        <v>15</v>
      </c>
      <c r="H60" s="37" t="s">
        <v>16</v>
      </c>
      <c r="I60" s="33"/>
      <c r="J60" s="34"/>
    </row>
    <row r="61" spans="1:10" x14ac:dyDescent="0.25">
      <c r="A61" s="26">
        <v>46065</v>
      </c>
      <c r="B61" s="27">
        <v>46065</v>
      </c>
      <c r="C61" s="28">
        <v>46065</v>
      </c>
      <c r="D61" s="29">
        <v>7</v>
      </c>
      <c r="E61" s="35">
        <v>7</v>
      </c>
      <c r="F61" s="36" t="s">
        <v>10</v>
      </c>
      <c r="G61" s="37" t="s">
        <v>31</v>
      </c>
      <c r="H61" s="39" t="s">
        <v>35</v>
      </c>
      <c r="I61" s="33"/>
      <c r="J61" s="34"/>
    </row>
    <row r="62" spans="1:10" x14ac:dyDescent="0.25">
      <c r="A62" s="26">
        <f t="shared" ref="A62:A159" si="5">B62</f>
        <v>46066</v>
      </c>
      <c r="B62" s="27">
        <f>+B60+1</f>
        <v>46066</v>
      </c>
      <c r="C62" s="28">
        <f t="shared" ref="C62:C159" si="6">B62</f>
        <v>46066</v>
      </c>
      <c r="D62" s="29">
        <f t="shared" ref="D62:D159" si="7">WEEKNUM(A62)</f>
        <v>7</v>
      </c>
      <c r="E62" s="35">
        <v>6</v>
      </c>
      <c r="F62" s="36" t="s">
        <v>10</v>
      </c>
      <c r="G62" s="37" t="s">
        <v>31</v>
      </c>
      <c r="H62" s="39" t="s">
        <v>35</v>
      </c>
      <c r="I62" s="33"/>
      <c r="J62" s="34">
        <f>SUM(E55:E62)</f>
        <v>40</v>
      </c>
    </row>
    <row r="63" spans="1:10" x14ac:dyDescent="0.25">
      <c r="A63" s="26">
        <f t="shared" si="5"/>
        <v>46067</v>
      </c>
      <c r="B63" s="27">
        <f t="shared" si="3"/>
        <v>46067</v>
      </c>
      <c r="C63" s="28">
        <f t="shared" si="6"/>
        <v>46067</v>
      </c>
      <c r="D63" s="29">
        <f t="shared" si="7"/>
        <v>7</v>
      </c>
      <c r="E63" s="35"/>
      <c r="F63" s="33"/>
      <c r="G63" s="38"/>
      <c r="H63" s="38"/>
      <c r="I63" s="33"/>
      <c r="J63" s="34"/>
    </row>
    <row r="64" spans="1:10" x14ac:dyDescent="0.25">
      <c r="A64" s="26">
        <f t="shared" si="5"/>
        <v>46068</v>
      </c>
      <c r="B64" s="27">
        <f t="shared" si="3"/>
        <v>46068</v>
      </c>
      <c r="C64" s="28">
        <f t="shared" si="6"/>
        <v>46068</v>
      </c>
      <c r="D64" s="29">
        <f t="shared" si="7"/>
        <v>8</v>
      </c>
      <c r="E64" s="35"/>
      <c r="F64" s="36"/>
      <c r="G64" s="37"/>
      <c r="H64" s="37"/>
      <c r="I64" s="33"/>
      <c r="J64" s="34"/>
    </row>
    <row r="65" spans="1:10" x14ac:dyDescent="0.25">
      <c r="A65" s="26">
        <f t="shared" si="5"/>
        <v>46069</v>
      </c>
      <c r="B65" s="27">
        <f t="shared" si="3"/>
        <v>46069</v>
      </c>
      <c r="C65" s="28">
        <f t="shared" si="6"/>
        <v>46069</v>
      </c>
      <c r="D65" s="29">
        <f t="shared" si="7"/>
        <v>8</v>
      </c>
      <c r="E65" s="35">
        <v>8.5</v>
      </c>
      <c r="F65" s="36" t="s">
        <v>7</v>
      </c>
      <c r="G65" s="37" t="s">
        <v>8</v>
      </c>
      <c r="H65" s="37" t="s">
        <v>9</v>
      </c>
      <c r="I65" s="33"/>
      <c r="J65" s="34"/>
    </row>
    <row r="66" spans="1:10" x14ac:dyDescent="0.25">
      <c r="A66" s="26">
        <f t="shared" si="5"/>
        <v>46070</v>
      </c>
      <c r="B66" s="27">
        <f t="shared" si="3"/>
        <v>46070</v>
      </c>
      <c r="C66" s="28">
        <f t="shared" si="6"/>
        <v>46070</v>
      </c>
      <c r="D66" s="29">
        <f t="shared" si="7"/>
        <v>8</v>
      </c>
      <c r="E66" s="35">
        <v>8.5</v>
      </c>
      <c r="F66" s="36" t="s">
        <v>7</v>
      </c>
      <c r="G66" s="37" t="s">
        <v>8</v>
      </c>
      <c r="H66" s="37" t="s">
        <v>9</v>
      </c>
      <c r="I66" s="33"/>
      <c r="J66" s="34"/>
    </row>
    <row r="67" spans="1:10" x14ac:dyDescent="0.25">
      <c r="A67" s="26">
        <f t="shared" si="5"/>
        <v>46071</v>
      </c>
      <c r="B67" s="27">
        <f t="shared" si="3"/>
        <v>46071</v>
      </c>
      <c r="C67" s="28">
        <f t="shared" si="6"/>
        <v>46071</v>
      </c>
      <c r="D67" s="29">
        <f t="shared" si="7"/>
        <v>8</v>
      </c>
      <c r="E67" s="35">
        <v>1</v>
      </c>
      <c r="F67" s="36" t="s">
        <v>14</v>
      </c>
      <c r="G67" s="37" t="s">
        <v>20</v>
      </c>
      <c r="H67" s="37" t="s">
        <v>36</v>
      </c>
      <c r="I67" s="33"/>
      <c r="J67" s="34"/>
    </row>
    <row r="68" spans="1:10" x14ac:dyDescent="0.25">
      <c r="A68" s="26">
        <v>46071</v>
      </c>
      <c r="B68" s="27">
        <v>46071</v>
      </c>
      <c r="C68" s="28">
        <v>46071</v>
      </c>
      <c r="D68" s="29">
        <v>8</v>
      </c>
      <c r="E68" s="35">
        <v>2.5</v>
      </c>
      <c r="F68" s="36" t="s">
        <v>14</v>
      </c>
      <c r="G68" s="37" t="s">
        <v>20</v>
      </c>
      <c r="H68" s="37" t="s">
        <v>37</v>
      </c>
      <c r="I68" s="33"/>
      <c r="J68" s="34"/>
    </row>
    <row r="69" spans="1:10" x14ac:dyDescent="0.25">
      <c r="A69" s="26">
        <v>46071</v>
      </c>
      <c r="B69" s="27">
        <v>46071</v>
      </c>
      <c r="C69" s="28">
        <v>46071</v>
      </c>
      <c r="D69" s="29">
        <v>8</v>
      </c>
      <c r="E69" s="35">
        <v>1</v>
      </c>
      <c r="F69" s="36" t="s">
        <v>10</v>
      </c>
      <c r="G69" s="37" t="s">
        <v>31</v>
      </c>
      <c r="H69" s="39" t="s">
        <v>38</v>
      </c>
      <c r="I69" s="33"/>
      <c r="J69" s="34"/>
    </row>
    <row r="70" spans="1:10" x14ac:dyDescent="0.25">
      <c r="A70" s="26">
        <v>46071</v>
      </c>
      <c r="B70" s="27">
        <v>46071</v>
      </c>
      <c r="C70" s="28">
        <v>46071</v>
      </c>
      <c r="D70" s="29">
        <v>8</v>
      </c>
      <c r="E70" s="35">
        <v>2</v>
      </c>
      <c r="F70" s="36" t="s">
        <v>14</v>
      </c>
      <c r="G70" s="37" t="s">
        <v>20</v>
      </c>
      <c r="H70" s="37" t="s">
        <v>34</v>
      </c>
      <c r="I70" s="33"/>
      <c r="J70" s="34"/>
    </row>
    <row r="71" spans="1:10" x14ac:dyDescent="0.25">
      <c r="A71" s="26">
        <v>46071</v>
      </c>
      <c r="B71" s="27">
        <v>46071</v>
      </c>
      <c r="C71" s="28">
        <v>46071</v>
      </c>
      <c r="D71" s="29">
        <v>8</v>
      </c>
      <c r="E71" s="35">
        <v>2</v>
      </c>
      <c r="F71" s="36" t="s">
        <v>14</v>
      </c>
      <c r="G71" s="37" t="s">
        <v>25</v>
      </c>
      <c r="H71" s="37" t="s">
        <v>26</v>
      </c>
      <c r="I71" s="33"/>
      <c r="J71" s="34"/>
    </row>
    <row r="72" spans="1:10" x14ac:dyDescent="0.25">
      <c r="A72" s="26">
        <f t="shared" si="5"/>
        <v>46072</v>
      </c>
      <c r="B72" s="27">
        <f>+B67+1</f>
        <v>46072</v>
      </c>
      <c r="C72" s="28">
        <f t="shared" si="6"/>
        <v>46072</v>
      </c>
      <c r="D72" s="29">
        <f t="shared" si="7"/>
        <v>8</v>
      </c>
      <c r="E72" s="35">
        <v>1.5</v>
      </c>
      <c r="F72" s="36" t="s">
        <v>14</v>
      </c>
      <c r="G72" s="37" t="s">
        <v>15</v>
      </c>
      <c r="H72" s="37" t="s">
        <v>16</v>
      </c>
      <c r="I72" s="33"/>
      <c r="J72" s="34"/>
    </row>
    <row r="73" spans="1:10" x14ac:dyDescent="0.25">
      <c r="A73" s="26">
        <v>46072</v>
      </c>
      <c r="B73" s="27">
        <v>46072</v>
      </c>
      <c r="C73" s="28">
        <v>46072</v>
      </c>
      <c r="D73" s="29">
        <v>8</v>
      </c>
      <c r="E73" s="35">
        <v>1</v>
      </c>
      <c r="F73" s="36" t="s">
        <v>14</v>
      </c>
      <c r="G73" s="37" t="s">
        <v>20</v>
      </c>
      <c r="H73" s="37" t="s">
        <v>39</v>
      </c>
      <c r="I73" s="33"/>
      <c r="J73" s="34"/>
    </row>
    <row r="74" spans="1:10" x14ac:dyDescent="0.25">
      <c r="A74" s="26">
        <v>46072</v>
      </c>
      <c r="B74" s="27">
        <v>46072</v>
      </c>
      <c r="C74" s="28">
        <v>46072</v>
      </c>
      <c r="D74" s="29">
        <v>8</v>
      </c>
      <c r="E74" s="35">
        <v>1.5</v>
      </c>
      <c r="F74" s="36" t="s">
        <v>10</v>
      </c>
      <c r="G74" s="37" t="s">
        <v>31</v>
      </c>
      <c r="H74" s="39" t="s">
        <v>40</v>
      </c>
      <c r="I74" s="33"/>
      <c r="J74" s="34"/>
    </row>
    <row r="75" spans="1:10" x14ac:dyDescent="0.25">
      <c r="A75" s="26">
        <v>46072</v>
      </c>
      <c r="B75" s="27">
        <v>46072</v>
      </c>
      <c r="C75" s="28">
        <v>46072</v>
      </c>
      <c r="D75" s="29">
        <v>8</v>
      </c>
      <c r="E75" s="35">
        <v>4.5</v>
      </c>
      <c r="F75" s="36" t="s">
        <v>10</v>
      </c>
      <c r="G75" s="37" t="s">
        <v>31</v>
      </c>
      <c r="H75" s="37" t="s">
        <v>41</v>
      </c>
      <c r="I75" s="33"/>
      <c r="J75" s="34"/>
    </row>
    <row r="76" spans="1:10" x14ac:dyDescent="0.25">
      <c r="A76" s="26">
        <f t="shared" si="5"/>
        <v>46073</v>
      </c>
      <c r="B76" s="27">
        <f>+B72+1</f>
        <v>46073</v>
      </c>
      <c r="C76" s="28">
        <f t="shared" si="6"/>
        <v>46073</v>
      </c>
      <c r="D76" s="29">
        <f t="shared" si="7"/>
        <v>8</v>
      </c>
      <c r="E76" s="35">
        <v>6</v>
      </c>
      <c r="F76" s="36" t="s">
        <v>10</v>
      </c>
      <c r="G76" s="37" t="s">
        <v>31</v>
      </c>
      <c r="H76" s="37" t="s">
        <v>41</v>
      </c>
      <c r="I76" s="33"/>
      <c r="J76" s="34">
        <f>SUM(E65:E76)</f>
        <v>40</v>
      </c>
    </row>
    <row r="77" spans="1:10" x14ac:dyDescent="0.25">
      <c r="A77" s="26">
        <f t="shared" si="5"/>
        <v>46074</v>
      </c>
      <c r="B77" s="27">
        <f t="shared" ref="B77:B140" si="8">+B76+1</f>
        <v>46074</v>
      </c>
      <c r="C77" s="28">
        <f t="shared" si="6"/>
        <v>46074</v>
      </c>
      <c r="D77" s="29">
        <f t="shared" si="7"/>
        <v>8</v>
      </c>
      <c r="E77" s="35"/>
      <c r="F77" s="33"/>
      <c r="G77" s="38"/>
      <c r="H77" s="38"/>
      <c r="I77" s="33"/>
      <c r="J77" s="34"/>
    </row>
    <row r="78" spans="1:10" x14ac:dyDescent="0.25">
      <c r="A78" s="26">
        <f t="shared" si="5"/>
        <v>46075</v>
      </c>
      <c r="B78" s="27">
        <f t="shared" si="8"/>
        <v>46075</v>
      </c>
      <c r="C78" s="28">
        <f t="shared" si="6"/>
        <v>46075</v>
      </c>
      <c r="D78" s="29">
        <f t="shared" si="7"/>
        <v>9</v>
      </c>
      <c r="E78" s="35"/>
      <c r="F78" s="36"/>
      <c r="G78" s="37"/>
      <c r="H78" s="37"/>
      <c r="I78" s="33"/>
      <c r="J78" s="34"/>
    </row>
    <row r="79" spans="1:10" x14ac:dyDescent="0.25">
      <c r="A79" s="26">
        <f t="shared" si="5"/>
        <v>46076</v>
      </c>
      <c r="B79" s="27">
        <f t="shared" si="8"/>
        <v>46076</v>
      </c>
      <c r="C79" s="28">
        <f t="shared" si="6"/>
        <v>46076</v>
      </c>
      <c r="D79" s="29">
        <f t="shared" si="7"/>
        <v>9</v>
      </c>
      <c r="E79" s="35">
        <v>3</v>
      </c>
      <c r="F79" s="36" t="s">
        <v>14</v>
      </c>
      <c r="G79" s="37" t="s">
        <v>20</v>
      </c>
      <c r="H79" s="37" t="s">
        <v>34</v>
      </c>
      <c r="I79" s="33"/>
      <c r="J79" s="34"/>
    </row>
    <row r="80" spans="1:10" x14ac:dyDescent="0.25">
      <c r="A80" s="26">
        <v>46076</v>
      </c>
      <c r="B80" s="27">
        <v>46076</v>
      </c>
      <c r="C80" s="28">
        <v>46076</v>
      </c>
      <c r="D80" s="29">
        <v>9</v>
      </c>
      <c r="E80" s="35">
        <v>5.5</v>
      </c>
      <c r="F80" s="36" t="s">
        <v>14</v>
      </c>
      <c r="G80" s="37" t="s">
        <v>20</v>
      </c>
      <c r="H80" s="37" t="s">
        <v>42</v>
      </c>
      <c r="I80" s="33"/>
      <c r="J80" s="34"/>
    </row>
    <row r="81" spans="1:10" x14ac:dyDescent="0.25">
      <c r="A81" s="26">
        <f t="shared" si="5"/>
        <v>46077</v>
      </c>
      <c r="B81" s="27">
        <f>+B79+1</f>
        <v>46077</v>
      </c>
      <c r="C81" s="28">
        <f t="shared" si="6"/>
        <v>46077</v>
      </c>
      <c r="D81" s="29">
        <f t="shared" si="7"/>
        <v>9</v>
      </c>
      <c r="E81" s="35">
        <v>3</v>
      </c>
      <c r="F81" s="36" t="s">
        <v>10</v>
      </c>
      <c r="G81" s="37" t="s">
        <v>31</v>
      </c>
      <c r="H81" s="40" t="s">
        <v>43</v>
      </c>
      <c r="I81" s="33"/>
      <c r="J81" s="34"/>
    </row>
    <row r="82" spans="1:10" x14ac:dyDescent="0.25">
      <c r="A82" s="26">
        <v>46077</v>
      </c>
      <c r="B82" s="27">
        <v>46077</v>
      </c>
      <c r="C82" s="28">
        <v>46077</v>
      </c>
      <c r="D82" s="29">
        <v>9</v>
      </c>
      <c r="E82" s="35">
        <v>1.5</v>
      </c>
      <c r="F82" s="36" t="s">
        <v>14</v>
      </c>
      <c r="G82" s="37" t="s">
        <v>15</v>
      </c>
      <c r="H82" s="37" t="s">
        <v>16</v>
      </c>
      <c r="I82" s="33"/>
      <c r="J82" s="34"/>
    </row>
    <row r="83" spans="1:10" x14ac:dyDescent="0.25">
      <c r="A83" s="26">
        <v>46077</v>
      </c>
      <c r="B83" s="27">
        <v>46077</v>
      </c>
      <c r="C83" s="28">
        <v>46077</v>
      </c>
      <c r="D83" s="29">
        <v>9</v>
      </c>
      <c r="E83" s="35">
        <v>4</v>
      </c>
      <c r="F83" s="36" t="s">
        <v>14</v>
      </c>
      <c r="G83" s="37" t="s">
        <v>25</v>
      </c>
      <c r="H83" s="37" t="s">
        <v>44</v>
      </c>
      <c r="I83" s="33"/>
      <c r="J83" s="34"/>
    </row>
    <row r="84" spans="1:10" x14ac:dyDescent="0.25">
      <c r="A84" s="26">
        <f t="shared" si="5"/>
        <v>46078</v>
      </c>
      <c r="B84" s="27">
        <f>+B81+1</f>
        <v>46078</v>
      </c>
      <c r="C84" s="28">
        <f t="shared" si="6"/>
        <v>46078</v>
      </c>
      <c r="D84" s="29">
        <f t="shared" si="7"/>
        <v>9</v>
      </c>
      <c r="E84" s="35">
        <v>5.5</v>
      </c>
      <c r="F84" s="36" t="s">
        <v>14</v>
      </c>
      <c r="G84" s="37" t="s">
        <v>25</v>
      </c>
      <c r="H84" s="37" t="s">
        <v>26</v>
      </c>
      <c r="I84" s="33"/>
      <c r="J84" s="34"/>
    </row>
    <row r="85" spans="1:10" x14ac:dyDescent="0.25">
      <c r="A85" s="26">
        <v>46078</v>
      </c>
      <c r="B85" s="27">
        <v>46078</v>
      </c>
      <c r="C85" s="28">
        <v>46078</v>
      </c>
      <c r="D85" s="29">
        <v>9</v>
      </c>
      <c r="E85" s="35">
        <v>1.5</v>
      </c>
      <c r="F85" s="36" t="s">
        <v>14</v>
      </c>
      <c r="G85" s="37" t="s">
        <v>15</v>
      </c>
      <c r="H85" s="37" t="s">
        <v>45</v>
      </c>
      <c r="I85" s="33"/>
      <c r="J85" s="34"/>
    </row>
    <row r="86" spans="1:10" x14ac:dyDescent="0.25">
      <c r="A86" s="26">
        <v>46078</v>
      </c>
      <c r="B86" s="27">
        <v>46078</v>
      </c>
      <c r="C86" s="28">
        <v>46078</v>
      </c>
      <c r="D86" s="29">
        <v>9</v>
      </c>
      <c r="E86" s="35">
        <v>1.5</v>
      </c>
      <c r="F86" s="36" t="s">
        <v>14</v>
      </c>
      <c r="G86" s="37" t="s">
        <v>15</v>
      </c>
      <c r="H86" s="37" t="s">
        <v>46</v>
      </c>
      <c r="I86" s="33"/>
      <c r="J86" s="34"/>
    </row>
    <row r="87" spans="1:10" x14ac:dyDescent="0.25">
      <c r="A87" s="26">
        <f t="shared" si="5"/>
        <v>46079</v>
      </c>
      <c r="B87" s="27">
        <f>+B84+1</f>
        <v>46079</v>
      </c>
      <c r="C87" s="28">
        <f t="shared" si="6"/>
        <v>46079</v>
      </c>
      <c r="D87" s="29">
        <f t="shared" si="7"/>
        <v>9</v>
      </c>
      <c r="E87" s="35">
        <v>8.5</v>
      </c>
      <c r="F87" s="36" t="s">
        <v>10</v>
      </c>
      <c r="G87" s="37" t="s">
        <v>31</v>
      </c>
      <c r="H87" s="40" t="s">
        <v>43</v>
      </c>
      <c r="I87" s="33"/>
      <c r="J87" s="34"/>
    </row>
    <row r="88" spans="1:10" x14ac:dyDescent="0.25">
      <c r="A88" s="26">
        <f t="shared" si="5"/>
        <v>46080</v>
      </c>
      <c r="B88" s="27">
        <f>+B87+1</f>
        <v>46080</v>
      </c>
      <c r="C88" s="28">
        <f t="shared" si="6"/>
        <v>46080</v>
      </c>
      <c r="D88" s="29">
        <f t="shared" si="7"/>
        <v>9</v>
      </c>
      <c r="E88" s="35">
        <v>6</v>
      </c>
      <c r="F88" s="36" t="s">
        <v>14</v>
      </c>
      <c r="G88" s="37" t="s">
        <v>25</v>
      </c>
      <c r="H88" s="37" t="s">
        <v>26</v>
      </c>
      <c r="I88" s="33"/>
      <c r="J88" s="34">
        <f>SUM(E79:E88)</f>
        <v>40</v>
      </c>
    </row>
    <row r="89" spans="1:10" x14ac:dyDescent="0.25">
      <c r="A89" s="26">
        <f t="shared" si="5"/>
        <v>46081</v>
      </c>
      <c r="B89" s="27">
        <f t="shared" si="8"/>
        <v>46081</v>
      </c>
      <c r="C89" s="28">
        <f t="shared" si="6"/>
        <v>46081</v>
      </c>
      <c r="D89" s="29">
        <f t="shared" si="7"/>
        <v>9</v>
      </c>
      <c r="E89" s="35"/>
      <c r="F89" s="33"/>
      <c r="G89" s="38"/>
      <c r="H89" s="38"/>
      <c r="I89" s="33"/>
      <c r="J89" s="34"/>
    </row>
    <row r="90" spans="1:10" x14ac:dyDescent="0.25">
      <c r="A90" s="26">
        <f t="shared" si="5"/>
        <v>46082</v>
      </c>
      <c r="B90" s="27">
        <f t="shared" si="8"/>
        <v>46082</v>
      </c>
      <c r="C90" s="28">
        <f t="shared" si="6"/>
        <v>46082</v>
      </c>
      <c r="D90" s="29">
        <f t="shared" si="7"/>
        <v>10</v>
      </c>
      <c r="E90" s="35"/>
      <c r="F90" s="36"/>
      <c r="G90" s="37"/>
      <c r="H90" s="37"/>
      <c r="I90" s="33"/>
      <c r="J90" s="34"/>
    </row>
    <row r="91" spans="1:10" x14ac:dyDescent="0.25">
      <c r="A91" s="26">
        <f t="shared" si="5"/>
        <v>46083</v>
      </c>
      <c r="B91" s="27">
        <f t="shared" si="8"/>
        <v>46083</v>
      </c>
      <c r="C91" s="28">
        <f t="shared" si="6"/>
        <v>46083</v>
      </c>
      <c r="D91" s="29">
        <f t="shared" si="7"/>
        <v>10</v>
      </c>
      <c r="E91" s="35">
        <v>8.5</v>
      </c>
      <c r="F91" s="36" t="s">
        <v>10</v>
      </c>
      <c r="G91" s="37" t="s">
        <v>31</v>
      </c>
      <c r="H91" s="37" t="s">
        <v>47</v>
      </c>
      <c r="I91" s="33"/>
      <c r="J91" s="34"/>
    </row>
    <row r="92" spans="1:10" x14ac:dyDescent="0.25">
      <c r="A92" s="26">
        <f t="shared" si="5"/>
        <v>46084</v>
      </c>
      <c r="B92" s="27">
        <f t="shared" si="8"/>
        <v>46084</v>
      </c>
      <c r="C92" s="28">
        <f t="shared" si="6"/>
        <v>46084</v>
      </c>
      <c r="D92" s="29">
        <f t="shared" si="7"/>
        <v>10</v>
      </c>
      <c r="E92" s="35">
        <v>1.5</v>
      </c>
      <c r="F92" s="36" t="s">
        <v>14</v>
      </c>
      <c r="G92" s="37" t="s">
        <v>15</v>
      </c>
      <c r="H92" s="37" t="s">
        <v>16</v>
      </c>
      <c r="I92" s="33"/>
      <c r="J92" s="34"/>
    </row>
    <row r="93" spans="1:10" x14ac:dyDescent="0.25">
      <c r="A93" s="26">
        <v>46084</v>
      </c>
      <c r="B93" s="27">
        <v>46084</v>
      </c>
      <c r="C93" s="28">
        <v>46084</v>
      </c>
      <c r="D93" s="29">
        <v>10</v>
      </c>
      <c r="E93" s="35">
        <v>7</v>
      </c>
      <c r="F93" s="36" t="s">
        <v>10</v>
      </c>
      <c r="G93" s="37" t="s">
        <v>31</v>
      </c>
      <c r="H93" s="39" t="s">
        <v>48</v>
      </c>
      <c r="I93" s="33"/>
      <c r="J93" s="34"/>
    </row>
    <row r="94" spans="1:10" x14ac:dyDescent="0.25">
      <c r="A94" s="26">
        <f t="shared" si="5"/>
        <v>46085</v>
      </c>
      <c r="B94" s="27">
        <f>+B92+1</f>
        <v>46085</v>
      </c>
      <c r="C94" s="28">
        <f t="shared" si="6"/>
        <v>46085</v>
      </c>
      <c r="D94" s="29">
        <f t="shared" si="7"/>
        <v>10</v>
      </c>
      <c r="E94" s="35">
        <v>7</v>
      </c>
      <c r="F94" s="36" t="s">
        <v>10</v>
      </c>
      <c r="G94" s="37" t="s">
        <v>31</v>
      </c>
      <c r="H94" s="39" t="s">
        <v>48</v>
      </c>
      <c r="I94" s="33"/>
      <c r="J94" s="34"/>
    </row>
    <row r="95" spans="1:10" x14ac:dyDescent="0.25">
      <c r="A95" s="26">
        <v>46085</v>
      </c>
      <c r="B95" s="27">
        <v>46085</v>
      </c>
      <c r="C95" s="28">
        <v>46085</v>
      </c>
      <c r="D95" s="29">
        <v>10</v>
      </c>
      <c r="E95" s="35">
        <v>1.5</v>
      </c>
      <c r="F95" s="36" t="s">
        <v>14</v>
      </c>
      <c r="G95" s="37" t="s">
        <v>15</v>
      </c>
      <c r="H95" s="37" t="s">
        <v>49</v>
      </c>
      <c r="I95" s="33"/>
      <c r="J95" s="34"/>
    </row>
    <row r="96" spans="1:10" x14ac:dyDescent="0.25">
      <c r="A96" s="26">
        <f t="shared" si="5"/>
        <v>46086</v>
      </c>
      <c r="B96" s="27">
        <f>+B94+1</f>
        <v>46086</v>
      </c>
      <c r="C96" s="28">
        <f t="shared" si="6"/>
        <v>46086</v>
      </c>
      <c r="D96" s="29">
        <f t="shared" si="7"/>
        <v>10</v>
      </c>
      <c r="E96" s="35">
        <v>1.5</v>
      </c>
      <c r="F96" s="36" t="s">
        <v>14</v>
      </c>
      <c r="G96" s="37" t="s">
        <v>20</v>
      </c>
      <c r="H96" s="37" t="s">
        <v>50</v>
      </c>
      <c r="I96" s="33"/>
      <c r="J96" s="34"/>
    </row>
    <row r="97" spans="1:10" x14ac:dyDescent="0.25">
      <c r="A97" s="26">
        <v>46086</v>
      </c>
      <c r="B97" s="27">
        <v>46086</v>
      </c>
      <c r="C97" s="28">
        <v>46086</v>
      </c>
      <c r="D97" s="29">
        <v>10</v>
      </c>
      <c r="E97" s="35">
        <v>7</v>
      </c>
      <c r="F97" s="36" t="s">
        <v>10</v>
      </c>
      <c r="G97" s="37" t="s">
        <v>31</v>
      </c>
      <c r="H97" s="39" t="s">
        <v>48</v>
      </c>
      <c r="I97" s="33"/>
      <c r="J97" s="34"/>
    </row>
    <row r="98" spans="1:10" x14ac:dyDescent="0.25">
      <c r="A98" s="26">
        <f t="shared" si="5"/>
        <v>46087</v>
      </c>
      <c r="B98" s="27">
        <f>+B96+1</f>
        <v>46087</v>
      </c>
      <c r="C98" s="28">
        <f t="shared" si="6"/>
        <v>46087</v>
      </c>
      <c r="D98" s="29">
        <f t="shared" si="7"/>
        <v>10</v>
      </c>
      <c r="E98" s="35">
        <v>6</v>
      </c>
      <c r="F98" s="36" t="s">
        <v>10</v>
      </c>
      <c r="G98" s="37" t="s">
        <v>31</v>
      </c>
      <c r="H98" s="39" t="s">
        <v>48</v>
      </c>
      <c r="I98" s="33"/>
      <c r="J98" s="34">
        <f>SUM(E91:E98)</f>
        <v>40</v>
      </c>
    </row>
    <row r="99" spans="1:10" x14ac:dyDescent="0.25">
      <c r="A99" s="26">
        <f t="shared" si="5"/>
        <v>46088</v>
      </c>
      <c r="B99" s="27">
        <f t="shared" si="8"/>
        <v>46088</v>
      </c>
      <c r="C99" s="28">
        <f t="shared" si="6"/>
        <v>46088</v>
      </c>
      <c r="D99" s="29">
        <f t="shared" si="7"/>
        <v>10</v>
      </c>
      <c r="E99" s="35"/>
      <c r="F99" s="33"/>
      <c r="G99" s="38"/>
      <c r="H99" s="38"/>
      <c r="I99" s="33"/>
      <c r="J99" s="34"/>
    </row>
    <row r="100" spans="1:10" x14ac:dyDescent="0.25">
      <c r="A100" s="26">
        <f t="shared" si="5"/>
        <v>46089</v>
      </c>
      <c r="B100" s="27">
        <f t="shared" si="8"/>
        <v>46089</v>
      </c>
      <c r="C100" s="28">
        <f t="shared" si="6"/>
        <v>46089</v>
      </c>
      <c r="D100" s="29">
        <f t="shared" si="7"/>
        <v>11</v>
      </c>
      <c r="E100" s="35"/>
      <c r="F100" s="36"/>
      <c r="G100" s="37"/>
      <c r="H100" s="37"/>
      <c r="I100" s="33"/>
      <c r="J100" s="34"/>
    </row>
    <row r="101" spans="1:10" x14ac:dyDescent="0.25">
      <c r="A101" s="26">
        <f t="shared" si="5"/>
        <v>46090</v>
      </c>
      <c r="B101" s="27">
        <f t="shared" si="8"/>
        <v>46090</v>
      </c>
      <c r="C101" s="28">
        <f t="shared" si="6"/>
        <v>46090</v>
      </c>
      <c r="D101" s="29">
        <f t="shared" si="7"/>
        <v>11</v>
      </c>
      <c r="E101" s="35">
        <v>8.5</v>
      </c>
      <c r="F101" s="36" t="s">
        <v>10</v>
      </c>
      <c r="G101" s="37" t="s">
        <v>31</v>
      </c>
      <c r="H101" s="40" t="s">
        <v>51</v>
      </c>
      <c r="I101" s="33"/>
      <c r="J101" s="34"/>
    </row>
    <row r="102" spans="1:10" x14ac:dyDescent="0.25">
      <c r="A102" s="26">
        <f t="shared" si="5"/>
        <v>46091</v>
      </c>
      <c r="B102" s="27">
        <f t="shared" si="8"/>
        <v>46091</v>
      </c>
      <c r="C102" s="28">
        <f t="shared" si="6"/>
        <v>46091</v>
      </c>
      <c r="D102" s="29">
        <f t="shared" si="7"/>
        <v>11</v>
      </c>
      <c r="E102" s="35">
        <v>1.5</v>
      </c>
      <c r="F102" s="36" t="s">
        <v>14</v>
      </c>
      <c r="G102" s="37" t="s">
        <v>15</v>
      </c>
      <c r="H102" s="37" t="s">
        <v>16</v>
      </c>
      <c r="I102" s="33"/>
      <c r="J102" s="34"/>
    </row>
    <row r="103" spans="1:10" x14ac:dyDescent="0.25">
      <c r="A103" s="26">
        <v>46091</v>
      </c>
      <c r="B103" s="27">
        <v>46091</v>
      </c>
      <c r="C103" s="28">
        <v>46091</v>
      </c>
      <c r="D103" s="29">
        <v>11</v>
      </c>
      <c r="E103" s="35">
        <v>7</v>
      </c>
      <c r="F103" s="36" t="s">
        <v>14</v>
      </c>
      <c r="G103" s="37" t="s">
        <v>25</v>
      </c>
      <c r="H103" s="37" t="s">
        <v>26</v>
      </c>
      <c r="I103" s="33"/>
      <c r="J103" s="34"/>
    </row>
    <row r="104" spans="1:10" x14ac:dyDescent="0.25">
      <c r="A104" s="26">
        <f t="shared" si="5"/>
        <v>46092</v>
      </c>
      <c r="B104" s="27">
        <f>+B102+1</f>
        <v>46092</v>
      </c>
      <c r="C104" s="28">
        <f t="shared" si="6"/>
        <v>46092</v>
      </c>
      <c r="D104" s="29">
        <f t="shared" si="7"/>
        <v>11</v>
      </c>
      <c r="E104" s="35">
        <v>7</v>
      </c>
      <c r="F104" s="36" t="s">
        <v>14</v>
      </c>
      <c r="G104" s="37" t="s">
        <v>25</v>
      </c>
      <c r="H104" s="37" t="s">
        <v>26</v>
      </c>
      <c r="I104" s="33"/>
      <c r="J104" s="34"/>
    </row>
    <row r="105" spans="1:10" x14ac:dyDescent="0.25">
      <c r="A105" s="26">
        <v>46092</v>
      </c>
      <c r="B105" s="27">
        <v>46092</v>
      </c>
      <c r="C105" s="28">
        <v>46092</v>
      </c>
      <c r="D105" s="29">
        <v>11</v>
      </c>
      <c r="E105" s="35">
        <v>1.5</v>
      </c>
      <c r="F105" s="36" t="s">
        <v>14</v>
      </c>
      <c r="G105" s="37" t="s">
        <v>15</v>
      </c>
      <c r="H105" s="37" t="s">
        <v>52</v>
      </c>
      <c r="I105" s="33"/>
      <c r="J105" s="34"/>
    </row>
    <row r="106" spans="1:10" x14ac:dyDescent="0.25">
      <c r="A106" s="26">
        <f t="shared" si="5"/>
        <v>46093</v>
      </c>
      <c r="B106" s="27">
        <f>+B104+1</f>
        <v>46093</v>
      </c>
      <c r="C106" s="28">
        <f t="shared" si="6"/>
        <v>46093</v>
      </c>
      <c r="D106" s="29">
        <f t="shared" si="7"/>
        <v>11</v>
      </c>
      <c r="E106" s="35">
        <v>8.5</v>
      </c>
      <c r="F106" s="36" t="s">
        <v>10</v>
      </c>
      <c r="G106" s="37" t="s">
        <v>11</v>
      </c>
      <c r="H106" s="40" t="s">
        <v>53</v>
      </c>
      <c r="I106" s="33"/>
      <c r="J106" s="34"/>
    </row>
    <row r="107" spans="1:10" x14ac:dyDescent="0.25">
      <c r="A107" s="26">
        <f t="shared" si="5"/>
        <v>46094</v>
      </c>
      <c r="B107" s="27">
        <f t="shared" si="8"/>
        <v>46094</v>
      </c>
      <c r="C107" s="28">
        <f t="shared" si="6"/>
        <v>46094</v>
      </c>
      <c r="D107" s="29">
        <f t="shared" si="7"/>
        <v>11</v>
      </c>
      <c r="E107" s="35">
        <v>1.5</v>
      </c>
      <c r="F107" s="36" t="s">
        <v>14</v>
      </c>
      <c r="G107" s="37" t="s">
        <v>15</v>
      </c>
      <c r="H107" s="37" t="s">
        <v>16</v>
      </c>
      <c r="I107" s="33"/>
      <c r="J107" s="34"/>
    </row>
    <row r="108" spans="1:10" x14ac:dyDescent="0.25">
      <c r="A108" s="26">
        <v>46094</v>
      </c>
      <c r="B108" s="27">
        <v>46094</v>
      </c>
      <c r="C108" s="28">
        <v>46094</v>
      </c>
      <c r="D108" s="29">
        <v>11</v>
      </c>
      <c r="E108" s="35">
        <v>1</v>
      </c>
      <c r="F108" s="36" t="s">
        <v>14</v>
      </c>
      <c r="G108" s="37" t="s">
        <v>20</v>
      </c>
      <c r="H108" s="37" t="s">
        <v>33</v>
      </c>
      <c r="I108" s="33"/>
      <c r="J108" s="34"/>
    </row>
    <row r="109" spans="1:10" x14ac:dyDescent="0.25">
      <c r="A109" s="26">
        <v>46094</v>
      </c>
      <c r="B109" s="27">
        <v>46094</v>
      </c>
      <c r="C109" s="28">
        <v>46094</v>
      </c>
      <c r="D109" s="29">
        <v>11</v>
      </c>
      <c r="E109" s="35">
        <v>2.5</v>
      </c>
      <c r="F109" s="36" t="s">
        <v>10</v>
      </c>
      <c r="G109" s="37" t="s">
        <v>11</v>
      </c>
      <c r="H109" s="39" t="s">
        <v>54</v>
      </c>
      <c r="I109" s="33"/>
      <c r="J109" s="34"/>
    </row>
    <row r="110" spans="1:10" x14ac:dyDescent="0.25">
      <c r="A110" s="26">
        <v>46094</v>
      </c>
      <c r="B110" s="27">
        <v>46094</v>
      </c>
      <c r="C110" s="28">
        <v>46094</v>
      </c>
      <c r="D110" s="29">
        <v>11</v>
      </c>
      <c r="E110" s="35">
        <v>1</v>
      </c>
      <c r="F110" s="36" t="s">
        <v>10</v>
      </c>
      <c r="G110" s="37" t="s">
        <v>11</v>
      </c>
      <c r="H110" s="39" t="s">
        <v>48</v>
      </c>
      <c r="I110" s="33"/>
      <c r="J110" s="34">
        <f>SUM(E101:E110)</f>
        <v>40</v>
      </c>
    </row>
    <row r="111" spans="1:10" x14ac:dyDescent="0.25">
      <c r="A111" s="26">
        <f t="shared" si="5"/>
        <v>46095</v>
      </c>
      <c r="B111" s="27">
        <f>+B107+1</f>
        <v>46095</v>
      </c>
      <c r="C111" s="28">
        <f t="shared" si="6"/>
        <v>46095</v>
      </c>
      <c r="D111" s="29">
        <f t="shared" si="7"/>
        <v>11</v>
      </c>
      <c r="E111" s="35"/>
      <c r="F111" s="36"/>
      <c r="G111" s="37"/>
      <c r="H111" s="37"/>
      <c r="I111" s="33"/>
      <c r="J111" s="34"/>
    </row>
    <row r="112" spans="1:10" x14ac:dyDescent="0.25">
      <c r="A112" s="26">
        <f t="shared" si="5"/>
        <v>46096</v>
      </c>
      <c r="B112" s="27">
        <f t="shared" si="8"/>
        <v>46096</v>
      </c>
      <c r="C112" s="28">
        <f t="shared" si="6"/>
        <v>46096</v>
      </c>
      <c r="D112" s="29">
        <f t="shared" si="7"/>
        <v>12</v>
      </c>
      <c r="E112" s="35"/>
      <c r="F112" s="36"/>
      <c r="G112" s="37"/>
      <c r="H112" s="37"/>
      <c r="I112" s="33"/>
      <c r="J112" s="34"/>
    </row>
    <row r="113" spans="1:10" x14ac:dyDescent="0.25">
      <c r="A113" s="26">
        <f t="shared" si="5"/>
        <v>46097</v>
      </c>
      <c r="B113" s="27">
        <f t="shared" si="8"/>
        <v>46097</v>
      </c>
      <c r="C113" s="28">
        <f t="shared" si="6"/>
        <v>46097</v>
      </c>
      <c r="D113" s="29">
        <f t="shared" si="7"/>
        <v>12</v>
      </c>
      <c r="E113" s="35">
        <v>8.5</v>
      </c>
      <c r="F113" s="36" t="s">
        <v>10</v>
      </c>
      <c r="G113" s="37" t="s">
        <v>11</v>
      </c>
      <c r="H113" s="40" t="s">
        <v>55</v>
      </c>
      <c r="I113" s="33"/>
      <c r="J113" s="34"/>
    </row>
    <row r="114" spans="1:10" x14ac:dyDescent="0.25">
      <c r="A114" s="26">
        <f t="shared" si="5"/>
        <v>46098</v>
      </c>
      <c r="B114" s="27">
        <f t="shared" si="8"/>
        <v>46098</v>
      </c>
      <c r="C114" s="28">
        <f t="shared" si="6"/>
        <v>46098</v>
      </c>
      <c r="D114" s="29">
        <f t="shared" si="7"/>
        <v>12</v>
      </c>
      <c r="E114" s="35">
        <v>7</v>
      </c>
      <c r="F114" s="36" t="s">
        <v>10</v>
      </c>
      <c r="G114" s="37" t="s">
        <v>11</v>
      </c>
      <c r="H114" s="40" t="s">
        <v>56</v>
      </c>
      <c r="I114" s="33"/>
      <c r="J114" s="34"/>
    </row>
    <row r="115" spans="1:10" x14ac:dyDescent="0.25">
      <c r="A115" s="26">
        <v>46098</v>
      </c>
      <c r="B115" s="27">
        <v>46098</v>
      </c>
      <c r="C115" s="28">
        <v>46098</v>
      </c>
      <c r="D115" s="29">
        <v>12</v>
      </c>
      <c r="E115" s="35">
        <v>1.5</v>
      </c>
      <c r="F115" s="36" t="s">
        <v>14</v>
      </c>
      <c r="G115" s="37" t="s">
        <v>15</v>
      </c>
      <c r="H115" s="37" t="s">
        <v>16</v>
      </c>
      <c r="I115" s="33"/>
      <c r="J115" s="34"/>
    </row>
    <row r="116" spans="1:10" x14ac:dyDescent="0.25">
      <c r="A116" s="26">
        <f t="shared" si="5"/>
        <v>46099</v>
      </c>
      <c r="B116" s="27">
        <f>+B114+1</f>
        <v>46099</v>
      </c>
      <c r="C116" s="28">
        <f t="shared" si="6"/>
        <v>46099</v>
      </c>
      <c r="D116" s="29">
        <f t="shared" si="7"/>
        <v>12</v>
      </c>
      <c r="E116" s="35">
        <v>6</v>
      </c>
      <c r="F116" s="36" t="s">
        <v>10</v>
      </c>
      <c r="G116" s="37" t="s">
        <v>11</v>
      </c>
      <c r="H116" s="37" t="s">
        <v>57</v>
      </c>
      <c r="I116" s="33"/>
      <c r="J116" s="34"/>
    </row>
    <row r="117" spans="1:10" x14ac:dyDescent="0.25">
      <c r="A117" s="26">
        <v>46099</v>
      </c>
      <c r="B117" s="27">
        <v>46099</v>
      </c>
      <c r="C117" s="28">
        <v>46099</v>
      </c>
      <c r="D117" s="29">
        <v>12</v>
      </c>
      <c r="E117" s="35">
        <v>2.5</v>
      </c>
      <c r="F117" s="36" t="s">
        <v>14</v>
      </c>
      <c r="G117" s="37" t="s">
        <v>20</v>
      </c>
      <c r="H117" s="37" t="s">
        <v>58</v>
      </c>
      <c r="I117" s="33"/>
      <c r="J117" s="34"/>
    </row>
    <row r="118" spans="1:10" x14ac:dyDescent="0.25">
      <c r="A118" s="26">
        <f t="shared" si="5"/>
        <v>46100</v>
      </c>
      <c r="B118" s="27">
        <f>+B116+1</f>
        <v>46100</v>
      </c>
      <c r="C118" s="28">
        <f t="shared" si="6"/>
        <v>46100</v>
      </c>
      <c r="D118" s="29">
        <f t="shared" si="7"/>
        <v>12</v>
      </c>
      <c r="E118" s="35">
        <v>4</v>
      </c>
      <c r="F118" s="36" t="s">
        <v>14</v>
      </c>
      <c r="G118" s="37" t="s">
        <v>20</v>
      </c>
      <c r="H118" s="37" t="s">
        <v>59</v>
      </c>
      <c r="I118" s="33"/>
      <c r="J118" s="34"/>
    </row>
    <row r="119" spans="1:10" x14ac:dyDescent="0.25">
      <c r="A119" s="26">
        <v>46100</v>
      </c>
      <c r="B119" s="27">
        <v>46100</v>
      </c>
      <c r="C119" s="28">
        <v>46100</v>
      </c>
      <c r="D119" s="29">
        <v>12</v>
      </c>
      <c r="E119" s="35">
        <v>3.5</v>
      </c>
      <c r="F119" s="36" t="s">
        <v>10</v>
      </c>
      <c r="G119" s="37" t="s">
        <v>11</v>
      </c>
      <c r="H119" s="37" t="s">
        <v>60</v>
      </c>
      <c r="I119" s="33"/>
      <c r="J119" s="34"/>
    </row>
    <row r="120" spans="1:10" x14ac:dyDescent="0.25">
      <c r="A120" s="26">
        <v>46100</v>
      </c>
      <c r="B120" s="27">
        <v>46100</v>
      </c>
      <c r="C120" s="28">
        <v>46100</v>
      </c>
      <c r="D120" s="29">
        <v>12</v>
      </c>
      <c r="E120" s="35">
        <v>1</v>
      </c>
      <c r="F120" s="36" t="s">
        <v>14</v>
      </c>
      <c r="G120" s="37" t="s">
        <v>25</v>
      </c>
      <c r="H120" s="37" t="s">
        <v>61</v>
      </c>
      <c r="I120" s="33"/>
      <c r="J120" s="34"/>
    </row>
    <row r="121" spans="1:10" x14ac:dyDescent="0.25">
      <c r="A121" s="26">
        <f t="shared" si="5"/>
        <v>46101</v>
      </c>
      <c r="B121" s="27">
        <f>+B118+1</f>
        <v>46101</v>
      </c>
      <c r="C121" s="28">
        <f t="shared" si="6"/>
        <v>46101</v>
      </c>
      <c r="D121" s="29">
        <f t="shared" si="7"/>
        <v>12</v>
      </c>
      <c r="E121" s="35">
        <v>6</v>
      </c>
      <c r="F121" s="36" t="s">
        <v>14</v>
      </c>
      <c r="G121" s="37" t="s">
        <v>20</v>
      </c>
      <c r="H121" s="37" t="s">
        <v>59</v>
      </c>
      <c r="I121" s="33"/>
      <c r="J121" s="34">
        <f>SUM(E113:E121)</f>
        <v>40</v>
      </c>
    </row>
    <row r="122" spans="1:10" x14ac:dyDescent="0.25">
      <c r="A122" s="26">
        <f t="shared" si="5"/>
        <v>46102</v>
      </c>
      <c r="B122" s="27">
        <f>+B121+1</f>
        <v>46102</v>
      </c>
      <c r="C122" s="28">
        <f t="shared" si="6"/>
        <v>46102</v>
      </c>
      <c r="D122" s="29">
        <f t="shared" si="7"/>
        <v>12</v>
      </c>
      <c r="E122" s="35"/>
      <c r="F122" s="36"/>
      <c r="G122" s="37"/>
      <c r="H122" s="37"/>
      <c r="I122" s="33"/>
      <c r="J122" s="34"/>
    </row>
    <row r="123" spans="1:10" x14ac:dyDescent="0.25">
      <c r="A123" s="26">
        <f t="shared" si="5"/>
        <v>46103</v>
      </c>
      <c r="B123" s="27">
        <f t="shared" si="8"/>
        <v>46103</v>
      </c>
      <c r="C123" s="28">
        <f t="shared" si="6"/>
        <v>46103</v>
      </c>
      <c r="D123" s="29">
        <f t="shared" si="7"/>
        <v>13</v>
      </c>
      <c r="E123" s="35"/>
      <c r="F123" s="36"/>
      <c r="G123" s="37"/>
      <c r="H123" s="37"/>
      <c r="I123" s="33"/>
      <c r="J123" s="34"/>
    </row>
    <row r="124" spans="1:10" x14ac:dyDescent="0.25">
      <c r="A124" s="26">
        <f t="shared" si="5"/>
        <v>46104</v>
      </c>
      <c r="B124" s="27">
        <f t="shared" si="8"/>
        <v>46104</v>
      </c>
      <c r="C124" s="28">
        <f t="shared" si="6"/>
        <v>46104</v>
      </c>
      <c r="D124" s="29">
        <f t="shared" si="7"/>
        <v>13</v>
      </c>
      <c r="E124" s="35">
        <v>5</v>
      </c>
      <c r="F124" s="36" t="s">
        <v>14</v>
      </c>
      <c r="G124" s="37" t="s">
        <v>20</v>
      </c>
      <c r="H124" s="37" t="s">
        <v>62</v>
      </c>
      <c r="I124" s="33"/>
      <c r="J124" s="34"/>
    </row>
    <row r="125" spans="1:10" x14ac:dyDescent="0.25">
      <c r="A125" s="26">
        <v>46104</v>
      </c>
      <c r="B125" s="27">
        <v>46104</v>
      </c>
      <c r="C125" s="28">
        <v>46104</v>
      </c>
      <c r="D125" s="29">
        <v>13</v>
      </c>
      <c r="E125" s="35">
        <v>3.5</v>
      </c>
      <c r="F125" s="36" t="s">
        <v>14</v>
      </c>
      <c r="G125" s="37" t="s">
        <v>20</v>
      </c>
      <c r="H125" s="37" t="s">
        <v>58</v>
      </c>
      <c r="I125" s="33"/>
      <c r="J125" s="34"/>
    </row>
    <row r="126" spans="1:10" x14ac:dyDescent="0.25">
      <c r="A126" s="26">
        <f t="shared" si="5"/>
        <v>46105</v>
      </c>
      <c r="B126" s="27">
        <f>+B124+1</f>
        <v>46105</v>
      </c>
      <c r="C126" s="28">
        <f t="shared" si="6"/>
        <v>46105</v>
      </c>
      <c r="D126" s="29">
        <f t="shared" si="7"/>
        <v>13</v>
      </c>
      <c r="E126" s="35">
        <v>1.5</v>
      </c>
      <c r="F126" s="36" t="s">
        <v>14</v>
      </c>
      <c r="G126" s="37" t="s">
        <v>15</v>
      </c>
      <c r="H126" s="37" t="s">
        <v>16</v>
      </c>
      <c r="I126" s="33"/>
      <c r="J126" s="34"/>
    </row>
    <row r="127" spans="1:10" x14ac:dyDescent="0.25">
      <c r="A127" s="26">
        <v>46105</v>
      </c>
      <c r="B127" s="27">
        <v>46105</v>
      </c>
      <c r="C127" s="28">
        <v>46105</v>
      </c>
      <c r="D127" s="29">
        <v>13</v>
      </c>
      <c r="E127" s="35">
        <v>3</v>
      </c>
      <c r="F127" s="36" t="s">
        <v>14</v>
      </c>
      <c r="G127" s="37" t="s">
        <v>25</v>
      </c>
      <c r="H127" s="37" t="s">
        <v>26</v>
      </c>
      <c r="I127" s="33"/>
      <c r="J127" s="34"/>
    </row>
    <row r="128" spans="1:10" x14ac:dyDescent="0.25">
      <c r="A128" s="26">
        <v>46105</v>
      </c>
      <c r="B128" s="27">
        <v>46105</v>
      </c>
      <c r="C128" s="28">
        <v>46105</v>
      </c>
      <c r="D128" s="29">
        <v>13</v>
      </c>
      <c r="E128" s="35">
        <v>4</v>
      </c>
      <c r="F128" s="36" t="s">
        <v>14</v>
      </c>
      <c r="G128" s="37" t="s">
        <v>20</v>
      </c>
      <c r="H128" s="37" t="s">
        <v>59</v>
      </c>
      <c r="I128" s="33"/>
      <c r="J128" s="34"/>
    </row>
    <row r="129" spans="1:10" x14ac:dyDescent="0.25">
      <c r="A129" s="26">
        <f t="shared" si="5"/>
        <v>46106</v>
      </c>
      <c r="B129" s="27">
        <f>+B126+1</f>
        <v>46106</v>
      </c>
      <c r="C129" s="28">
        <f t="shared" si="6"/>
        <v>46106</v>
      </c>
      <c r="D129" s="29">
        <f t="shared" si="7"/>
        <v>13</v>
      </c>
      <c r="E129" s="35">
        <v>8.5</v>
      </c>
      <c r="F129" s="36" t="s">
        <v>14</v>
      </c>
      <c r="G129" s="37" t="s">
        <v>20</v>
      </c>
      <c r="H129" s="37" t="s">
        <v>59</v>
      </c>
      <c r="I129" s="33"/>
      <c r="J129" s="34"/>
    </row>
    <row r="130" spans="1:10" x14ac:dyDescent="0.25">
      <c r="A130" s="26">
        <f t="shared" si="5"/>
        <v>46107</v>
      </c>
      <c r="B130" s="27">
        <f>+B129+1</f>
        <v>46107</v>
      </c>
      <c r="C130" s="28">
        <f t="shared" si="6"/>
        <v>46107</v>
      </c>
      <c r="D130" s="29">
        <f t="shared" si="7"/>
        <v>13</v>
      </c>
      <c r="E130" s="35">
        <v>8.5</v>
      </c>
      <c r="F130" s="36" t="s">
        <v>7</v>
      </c>
      <c r="G130" s="37" t="s">
        <v>8</v>
      </c>
      <c r="H130" s="37" t="s">
        <v>9</v>
      </c>
      <c r="I130" s="33"/>
      <c r="J130" s="34"/>
    </row>
    <row r="131" spans="1:10" x14ac:dyDescent="0.25">
      <c r="A131" s="26">
        <f t="shared" si="5"/>
        <v>46108</v>
      </c>
      <c r="B131" s="27">
        <f t="shared" si="8"/>
        <v>46108</v>
      </c>
      <c r="C131" s="28">
        <f t="shared" si="6"/>
        <v>46108</v>
      </c>
      <c r="D131" s="29">
        <f t="shared" si="7"/>
        <v>13</v>
      </c>
      <c r="E131" s="35">
        <v>6</v>
      </c>
      <c r="F131" s="36" t="s">
        <v>7</v>
      </c>
      <c r="G131" s="37" t="s">
        <v>8</v>
      </c>
      <c r="H131" s="37" t="s">
        <v>9</v>
      </c>
      <c r="I131" s="33"/>
      <c r="J131" s="34">
        <f>SUM(E124:E131)</f>
        <v>40</v>
      </c>
    </row>
    <row r="132" spans="1:10" x14ac:dyDescent="0.25">
      <c r="A132" s="26">
        <f t="shared" si="5"/>
        <v>46109</v>
      </c>
      <c r="B132" s="27">
        <f t="shared" si="8"/>
        <v>46109</v>
      </c>
      <c r="C132" s="28">
        <f t="shared" si="6"/>
        <v>46109</v>
      </c>
      <c r="D132" s="29">
        <f t="shared" si="7"/>
        <v>13</v>
      </c>
      <c r="E132" s="35"/>
      <c r="F132" s="36"/>
      <c r="G132" s="37"/>
      <c r="H132" s="37"/>
      <c r="I132" s="33"/>
      <c r="J132" s="34"/>
    </row>
    <row r="133" spans="1:10" x14ac:dyDescent="0.25">
      <c r="A133" s="26">
        <f t="shared" si="5"/>
        <v>46110</v>
      </c>
      <c r="B133" s="27">
        <f t="shared" si="8"/>
        <v>46110</v>
      </c>
      <c r="C133" s="28">
        <f t="shared" si="6"/>
        <v>46110</v>
      </c>
      <c r="D133" s="29">
        <f t="shared" si="7"/>
        <v>14</v>
      </c>
      <c r="E133" s="35"/>
      <c r="F133" s="36"/>
      <c r="G133" s="37"/>
      <c r="H133" s="37"/>
      <c r="I133" s="33"/>
      <c r="J133" s="34"/>
    </row>
    <row r="134" spans="1:10" x14ac:dyDescent="0.25">
      <c r="A134" s="26">
        <f t="shared" si="5"/>
        <v>46111</v>
      </c>
      <c r="B134" s="27">
        <f t="shared" si="8"/>
        <v>46111</v>
      </c>
      <c r="C134" s="28">
        <f t="shared" si="6"/>
        <v>46111</v>
      </c>
      <c r="D134" s="29">
        <f t="shared" si="7"/>
        <v>14</v>
      </c>
      <c r="E134" s="35">
        <v>8.5</v>
      </c>
      <c r="F134" s="36" t="s">
        <v>7</v>
      </c>
      <c r="G134" s="37" t="s">
        <v>8</v>
      </c>
      <c r="H134" s="37" t="s">
        <v>9</v>
      </c>
      <c r="I134" s="33"/>
      <c r="J134" s="34"/>
    </row>
    <row r="135" spans="1:10" x14ac:dyDescent="0.25">
      <c r="A135" s="26">
        <f t="shared" si="5"/>
        <v>46112</v>
      </c>
      <c r="B135" s="27">
        <f t="shared" si="8"/>
        <v>46112</v>
      </c>
      <c r="C135" s="28">
        <f t="shared" si="6"/>
        <v>46112</v>
      </c>
      <c r="D135" s="29">
        <f t="shared" si="7"/>
        <v>14</v>
      </c>
      <c r="E135" s="35">
        <v>8.5</v>
      </c>
      <c r="F135" s="36" t="s">
        <v>7</v>
      </c>
      <c r="G135" s="37" t="s">
        <v>8</v>
      </c>
      <c r="H135" s="37" t="s">
        <v>9</v>
      </c>
      <c r="I135" s="33"/>
      <c r="J135" s="34"/>
    </row>
    <row r="136" spans="1:10" x14ac:dyDescent="0.25">
      <c r="A136" s="26">
        <f t="shared" si="5"/>
        <v>46113</v>
      </c>
      <c r="B136" s="27">
        <f t="shared" si="8"/>
        <v>46113</v>
      </c>
      <c r="C136" s="28">
        <f t="shared" si="6"/>
        <v>46113</v>
      </c>
      <c r="D136" s="29">
        <f t="shared" si="7"/>
        <v>14</v>
      </c>
      <c r="E136" s="35">
        <v>8.5</v>
      </c>
      <c r="F136" s="36" t="s">
        <v>7</v>
      </c>
      <c r="G136" s="37" t="s">
        <v>8</v>
      </c>
      <c r="H136" s="37" t="s">
        <v>9</v>
      </c>
      <c r="I136" s="33"/>
      <c r="J136" s="34"/>
    </row>
    <row r="137" spans="1:10" x14ac:dyDescent="0.25">
      <c r="A137" s="26">
        <f t="shared" si="5"/>
        <v>46114</v>
      </c>
      <c r="B137" s="27">
        <f t="shared" si="8"/>
        <v>46114</v>
      </c>
      <c r="C137" s="28">
        <f t="shared" si="6"/>
        <v>46114</v>
      </c>
      <c r="D137" s="29">
        <f t="shared" si="7"/>
        <v>14</v>
      </c>
      <c r="E137" s="30" t="s">
        <v>6</v>
      </c>
      <c r="F137" s="31"/>
      <c r="G137" s="32"/>
      <c r="H137" s="32"/>
      <c r="I137" s="33"/>
      <c r="J137" s="34"/>
    </row>
    <row r="138" spans="1:10" x14ac:dyDescent="0.25">
      <c r="A138" s="26">
        <f t="shared" si="5"/>
        <v>46115</v>
      </c>
      <c r="B138" s="27">
        <f t="shared" si="8"/>
        <v>46115</v>
      </c>
      <c r="C138" s="28">
        <f t="shared" si="6"/>
        <v>46115</v>
      </c>
      <c r="D138" s="29">
        <f t="shared" si="7"/>
        <v>14</v>
      </c>
      <c r="E138" s="30" t="s">
        <v>6</v>
      </c>
      <c r="F138" s="31"/>
      <c r="G138" s="32"/>
      <c r="H138" s="32"/>
      <c r="I138" s="33"/>
      <c r="J138" s="34">
        <f>SUM(E134:E138)</f>
        <v>25.5</v>
      </c>
    </row>
    <row r="139" spans="1:10" x14ac:dyDescent="0.25">
      <c r="A139" s="26">
        <f t="shared" si="5"/>
        <v>46116</v>
      </c>
      <c r="B139" s="27">
        <f t="shared" si="8"/>
        <v>46116</v>
      </c>
      <c r="C139" s="28">
        <f t="shared" si="6"/>
        <v>46116</v>
      </c>
      <c r="D139" s="29">
        <f t="shared" si="7"/>
        <v>14</v>
      </c>
      <c r="E139" s="35"/>
      <c r="F139" s="36"/>
      <c r="G139" s="37"/>
      <c r="H139" s="37"/>
      <c r="I139" s="33"/>
      <c r="J139" s="34"/>
    </row>
    <row r="140" spans="1:10" x14ac:dyDescent="0.25">
      <c r="A140" s="26">
        <f t="shared" si="5"/>
        <v>46117</v>
      </c>
      <c r="B140" s="27">
        <f t="shared" si="8"/>
        <v>46117</v>
      </c>
      <c r="C140" s="28">
        <f t="shared" si="6"/>
        <v>46117</v>
      </c>
      <c r="D140" s="29">
        <f t="shared" si="7"/>
        <v>15</v>
      </c>
      <c r="E140" s="35"/>
      <c r="F140" s="36"/>
      <c r="G140" s="37"/>
      <c r="H140" s="37"/>
      <c r="I140" s="33"/>
      <c r="J140" s="34"/>
    </row>
    <row r="141" spans="1:10" x14ac:dyDescent="0.25">
      <c r="A141" s="26">
        <f t="shared" si="5"/>
        <v>46118</v>
      </c>
      <c r="B141" s="27">
        <f t="shared" ref="B141:B196" si="9">+B140+1</f>
        <v>46118</v>
      </c>
      <c r="C141" s="28">
        <f t="shared" si="6"/>
        <v>46118</v>
      </c>
      <c r="D141" s="29">
        <f t="shared" si="7"/>
        <v>15</v>
      </c>
      <c r="E141" s="35">
        <v>8.5</v>
      </c>
      <c r="F141" s="36" t="s">
        <v>14</v>
      </c>
      <c r="G141" s="37" t="s">
        <v>20</v>
      </c>
      <c r="H141" s="37" t="s">
        <v>59</v>
      </c>
      <c r="I141" s="33"/>
      <c r="J141" s="34"/>
    </row>
    <row r="142" spans="1:10" x14ac:dyDescent="0.25">
      <c r="A142" s="26">
        <f t="shared" si="5"/>
        <v>46119</v>
      </c>
      <c r="B142" s="27">
        <f t="shared" si="9"/>
        <v>46119</v>
      </c>
      <c r="C142" s="28">
        <f t="shared" si="6"/>
        <v>46119</v>
      </c>
      <c r="D142" s="29">
        <f t="shared" si="7"/>
        <v>15</v>
      </c>
      <c r="E142" s="35">
        <v>1.5</v>
      </c>
      <c r="F142" s="36" t="s">
        <v>14</v>
      </c>
      <c r="G142" s="37" t="s">
        <v>15</v>
      </c>
      <c r="H142" s="37" t="s">
        <v>16</v>
      </c>
      <c r="I142" s="33"/>
      <c r="J142" s="34"/>
    </row>
    <row r="143" spans="1:10" x14ac:dyDescent="0.25">
      <c r="A143" s="26">
        <v>46119</v>
      </c>
      <c r="B143" s="27">
        <v>46119</v>
      </c>
      <c r="C143" s="28">
        <v>46119</v>
      </c>
      <c r="D143" s="29">
        <v>15</v>
      </c>
      <c r="E143" s="35">
        <v>7</v>
      </c>
      <c r="F143" s="36" t="s">
        <v>10</v>
      </c>
      <c r="G143" s="37" t="s">
        <v>31</v>
      </c>
      <c r="H143" s="40" t="s">
        <v>63</v>
      </c>
      <c r="I143" s="33"/>
      <c r="J143" s="34"/>
    </row>
    <row r="144" spans="1:10" x14ac:dyDescent="0.25">
      <c r="A144" s="26">
        <f t="shared" si="5"/>
        <v>46120</v>
      </c>
      <c r="B144" s="27">
        <f>+B142+1</f>
        <v>46120</v>
      </c>
      <c r="C144" s="28">
        <f t="shared" si="6"/>
        <v>46120</v>
      </c>
      <c r="D144" s="29">
        <f t="shared" si="7"/>
        <v>15</v>
      </c>
      <c r="E144" s="35">
        <v>7.5</v>
      </c>
      <c r="F144" s="36" t="s">
        <v>10</v>
      </c>
      <c r="G144" s="37" t="s">
        <v>31</v>
      </c>
      <c r="H144" s="40" t="s">
        <v>63</v>
      </c>
      <c r="I144" s="33"/>
      <c r="J144" s="34"/>
    </row>
    <row r="145" spans="1:10" x14ac:dyDescent="0.25">
      <c r="A145" s="26">
        <v>46120</v>
      </c>
      <c r="B145" s="27">
        <v>46120</v>
      </c>
      <c r="C145" s="28">
        <v>46120</v>
      </c>
      <c r="D145" s="29">
        <v>15</v>
      </c>
      <c r="E145" s="35">
        <v>1</v>
      </c>
      <c r="F145" s="36" t="s">
        <v>14</v>
      </c>
      <c r="G145" s="37" t="s">
        <v>20</v>
      </c>
      <c r="H145" s="37" t="s">
        <v>64</v>
      </c>
      <c r="I145" s="33"/>
      <c r="J145" s="34"/>
    </row>
    <row r="146" spans="1:10" x14ac:dyDescent="0.25">
      <c r="A146" s="26">
        <f t="shared" si="5"/>
        <v>46121</v>
      </c>
      <c r="B146" s="27">
        <f>+B144+1</f>
        <v>46121</v>
      </c>
      <c r="C146" s="28">
        <f t="shared" si="6"/>
        <v>46121</v>
      </c>
      <c r="D146" s="29">
        <f t="shared" si="7"/>
        <v>15</v>
      </c>
      <c r="E146" s="35">
        <v>3.5</v>
      </c>
      <c r="F146" s="36" t="s">
        <v>10</v>
      </c>
      <c r="G146" s="37" t="s">
        <v>31</v>
      </c>
      <c r="H146" s="40" t="s">
        <v>63</v>
      </c>
      <c r="I146" s="33"/>
      <c r="J146" s="34"/>
    </row>
    <row r="147" spans="1:10" x14ac:dyDescent="0.25">
      <c r="A147" s="26">
        <v>46121</v>
      </c>
      <c r="B147" s="27">
        <v>46121</v>
      </c>
      <c r="C147" s="28">
        <v>46121</v>
      </c>
      <c r="D147" s="29">
        <v>15</v>
      </c>
      <c r="E147" s="35">
        <v>5</v>
      </c>
      <c r="F147" s="36" t="s">
        <v>10</v>
      </c>
      <c r="G147" s="37" t="s">
        <v>31</v>
      </c>
      <c r="H147" s="39" t="s">
        <v>65</v>
      </c>
      <c r="I147" s="33"/>
      <c r="J147" s="34"/>
    </row>
    <row r="148" spans="1:10" x14ac:dyDescent="0.25">
      <c r="A148" s="26">
        <f t="shared" si="5"/>
        <v>46122</v>
      </c>
      <c r="B148" s="27">
        <f>+B146+1</f>
        <v>46122</v>
      </c>
      <c r="C148" s="28">
        <f t="shared" si="6"/>
        <v>46122</v>
      </c>
      <c r="D148" s="29">
        <f t="shared" si="7"/>
        <v>15</v>
      </c>
      <c r="E148" s="35">
        <v>2</v>
      </c>
      <c r="F148" s="36" t="s">
        <v>14</v>
      </c>
      <c r="G148" s="37" t="s">
        <v>25</v>
      </c>
      <c r="H148" s="37" t="s">
        <v>66</v>
      </c>
      <c r="I148" s="33"/>
      <c r="J148" s="34"/>
    </row>
    <row r="149" spans="1:10" x14ac:dyDescent="0.25">
      <c r="A149" s="26">
        <v>46122</v>
      </c>
      <c r="B149" s="27">
        <v>46122</v>
      </c>
      <c r="C149" s="28">
        <v>46122</v>
      </c>
      <c r="D149" s="29">
        <v>15</v>
      </c>
      <c r="E149" s="35">
        <v>1</v>
      </c>
      <c r="F149" s="36" t="s">
        <v>14</v>
      </c>
      <c r="G149" s="37" t="s">
        <v>20</v>
      </c>
      <c r="H149" s="37" t="s">
        <v>67</v>
      </c>
      <c r="I149" s="33"/>
      <c r="J149" s="34"/>
    </row>
    <row r="150" spans="1:10" x14ac:dyDescent="0.25">
      <c r="A150" s="26">
        <v>46122</v>
      </c>
      <c r="B150" s="27">
        <v>46122</v>
      </c>
      <c r="C150" s="28">
        <v>46122</v>
      </c>
      <c r="D150" s="29">
        <v>15</v>
      </c>
      <c r="E150" s="35">
        <v>3</v>
      </c>
      <c r="F150" s="36" t="s">
        <v>14</v>
      </c>
      <c r="G150" s="37" t="s">
        <v>20</v>
      </c>
      <c r="H150" s="37" t="s">
        <v>68</v>
      </c>
      <c r="I150" s="33"/>
      <c r="J150" s="34">
        <f>SUM(E141:E150)</f>
        <v>40</v>
      </c>
    </row>
    <row r="151" spans="1:10" x14ac:dyDescent="0.25">
      <c r="A151" s="26">
        <f t="shared" si="5"/>
        <v>46123</v>
      </c>
      <c r="B151" s="27">
        <f>+B148+1</f>
        <v>46123</v>
      </c>
      <c r="C151" s="28">
        <f t="shared" si="6"/>
        <v>46123</v>
      </c>
      <c r="D151" s="29">
        <f t="shared" si="7"/>
        <v>15</v>
      </c>
      <c r="E151" s="35"/>
      <c r="F151" s="36"/>
      <c r="G151" s="37"/>
      <c r="H151" s="37"/>
      <c r="I151" s="33"/>
      <c r="J151" s="34"/>
    </row>
    <row r="152" spans="1:10" x14ac:dyDescent="0.25">
      <c r="A152" s="26">
        <f t="shared" si="5"/>
        <v>46124</v>
      </c>
      <c r="B152" s="27">
        <f t="shared" si="9"/>
        <v>46124</v>
      </c>
      <c r="C152" s="28">
        <f t="shared" si="6"/>
        <v>46124</v>
      </c>
      <c r="D152" s="29">
        <f t="shared" si="7"/>
        <v>16</v>
      </c>
      <c r="E152" s="35"/>
      <c r="F152" s="36"/>
      <c r="G152" s="37"/>
      <c r="H152" s="37"/>
      <c r="I152" s="33"/>
      <c r="J152" s="34"/>
    </row>
    <row r="153" spans="1:10" x14ac:dyDescent="0.25">
      <c r="A153" s="26">
        <f t="shared" si="5"/>
        <v>46125</v>
      </c>
      <c r="B153" s="27">
        <f t="shared" si="9"/>
        <v>46125</v>
      </c>
      <c r="C153" s="28">
        <f t="shared" si="6"/>
        <v>46125</v>
      </c>
      <c r="D153" s="29">
        <f t="shared" si="7"/>
        <v>16</v>
      </c>
      <c r="E153" s="35">
        <v>8.5</v>
      </c>
      <c r="F153" s="36" t="s">
        <v>10</v>
      </c>
      <c r="G153" s="37" t="s">
        <v>31</v>
      </c>
      <c r="H153" s="40" t="s">
        <v>63</v>
      </c>
      <c r="I153" s="33"/>
      <c r="J153" s="34"/>
    </row>
    <row r="154" spans="1:10" x14ac:dyDescent="0.25">
      <c r="A154" s="26">
        <f t="shared" si="5"/>
        <v>46126</v>
      </c>
      <c r="B154" s="27">
        <f t="shared" si="9"/>
        <v>46126</v>
      </c>
      <c r="C154" s="28">
        <f t="shared" si="6"/>
        <v>46126</v>
      </c>
      <c r="D154" s="29">
        <f t="shared" si="7"/>
        <v>16</v>
      </c>
      <c r="E154" s="35">
        <v>8.5</v>
      </c>
      <c r="F154" s="36" t="s">
        <v>10</v>
      </c>
      <c r="G154" s="37" t="s">
        <v>31</v>
      </c>
      <c r="H154" s="40" t="s">
        <v>63</v>
      </c>
      <c r="I154" s="33"/>
      <c r="J154" s="34"/>
    </row>
    <row r="155" spans="1:10" x14ac:dyDescent="0.25">
      <c r="A155" s="26">
        <f t="shared" si="5"/>
        <v>46127</v>
      </c>
      <c r="B155" s="27">
        <f t="shared" si="9"/>
        <v>46127</v>
      </c>
      <c r="C155" s="28">
        <f t="shared" si="6"/>
        <v>46127</v>
      </c>
      <c r="D155" s="29">
        <f t="shared" si="7"/>
        <v>16</v>
      </c>
      <c r="E155" s="35">
        <v>2</v>
      </c>
      <c r="F155" s="36" t="s">
        <v>14</v>
      </c>
      <c r="G155" s="37" t="s">
        <v>20</v>
      </c>
      <c r="H155" s="37" t="s">
        <v>69</v>
      </c>
      <c r="I155" s="33"/>
      <c r="J155" s="34"/>
    </row>
    <row r="156" spans="1:10" x14ac:dyDescent="0.25">
      <c r="A156" s="26">
        <v>46127</v>
      </c>
      <c r="B156" s="27">
        <v>46127</v>
      </c>
      <c r="C156" s="28">
        <v>46127</v>
      </c>
      <c r="D156" s="29">
        <v>16</v>
      </c>
      <c r="E156" s="35">
        <v>6.5</v>
      </c>
      <c r="F156" s="36" t="s">
        <v>10</v>
      </c>
      <c r="G156" s="37" t="s">
        <v>31</v>
      </c>
      <c r="H156" s="40" t="s">
        <v>63</v>
      </c>
      <c r="I156" s="33"/>
      <c r="J156" s="34"/>
    </row>
    <row r="157" spans="1:10" x14ac:dyDescent="0.25">
      <c r="A157" s="26">
        <f t="shared" si="5"/>
        <v>46128</v>
      </c>
      <c r="B157" s="27">
        <f>+B155+1</f>
        <v>46128</v>
      </c>
      <c r="C157" s="28">
        <f t="shared" si="6"/>
        <v>46128</v>
      </c>
      <c r="D157" s="29">
        <f t="shared" si="7"/>
        <v>16</v>
      </c>
      <c r="E157" s="35">
        <v>6</v>
      </c>
      <c r="F157" s="36" t="s">
        <v>10</v>
      </c>
      <c r="G157" s="37" t="s">
        <v>11</v>
      </c>
      <c r="H157" s="40" t="s">
        <v>70</v>
      </c>
      <c r="I157" s="33"/>
      <c r="J157" s="34"/>
    </row>
    <row r="158" spans="1:10" x14ac:dyDescent="0.25">
      <c r="A158" s="26">
        <v>46128</v>
      </c>
      <c r="B158" s="27">
        <v>46128</v>
      </c>
      <c r="C158" s="28">
        <v>46128</v>
      </c>
      <c r="D158" s="29">
        <v>16</v>
      </c>
      <c r="E158" s="35">
        <v>2.5</v>
      </c>
      <c r="F158" s="36" t="s">
        <v>14</v>
      </c>
      <c r="G158" s="37" t="s">
        <v>20</v>
      </c>
      <c r="H158" s="37" t="s">
        <v>69</v>
      </c>
      <c r="I158" s="33"/>
      <c r="J158" s="34"/>
    </row>
    <row r="159" spans="1:10" x14ac:dyDescent="0.25">
      <c r="A159" s="26">
        <f t="shared" si="5"/>
        <v>46129</v>
      </c>
      <c r="B159" s="27">
        <f>+B157+1</f>
        <v>46129</v>
      </c>
      <c r="C159" s="28">
        <f t="shared" si="6"/>
        <v>46129</v>
      </c>
      <c r="D159" s="29">
        <f t="shared" si="7"/>
        <v>16</v>
      </c>
      <c r="E159" s="35">
        <v>4.5</v>
      </c>
      <c r="F159" s="36" t="s">
        <v>10</v>
      </c>
      <c r="G159" s="37" t="s">
        <v>11</v>
      </c>
      <c r="H159" s="40" t="s">
        <v>70</v>
      </c>
      <c r="I159" s="33"/>
      <c r="J159" s="34"/>
    </row>
    <row r="160" spans="1:10" x14ac:dyDescent="0.25">
      <c r="A160" s="26">
        <v>46129</v>
      </c>
      <c r="B160" s="27">
        <v>46129</v>
      </c>
      <c r="C160" s="28">
        <v>46129</v>
      </c>
      <c r="D160" s="29">
        <v>16</v>
      </c>
      <c r="E160" s="35">
        <v>1.5</v>
      </c>
      <c r="F160" s="36" t="s">
        <v>14</v>
      </c>
      <c r="G160" s="37" t="s">
        <v>15</v>
      </c>
      <c r="H160" s="37" t="s">
        <v>16</v>
      </c>
      <c r="I160" s="33"/>
      <c r="J160" s="34">
        <f>SUM(E153:E160)</f>
        <v>40</v>
      </c>
    </row>
    <row r="161" spans="1:10" x14ac:dyDescent="0.25">
      <c r="A161" s="26">
        <f t="shared" ref="A161:A277" si="10">B161</f>
        <v>46130</v>
      </c>
      <c r="B161" s="27">
        <f>+B159+1</f>
        <v>46130</v>
      </c>
      <c r="C161" s="28">
        <f t="shared" ref="C161:C277" si="11">B161</f>
        <v>46130</v>
      </c>
      <c r="D161" s="29">
        <f t="shared" ref="D161:D277" si="12">WEEKNUM(A161)</f>
        <v>16</v>
      </c>
      <c r="E161" s="35"/>
      <c r="F161" s="36"/>
      <c r="G161" s="37"/>
      <c r="H161" s="37"/>
      <c r="I161" s="33"/>
      <c r="J161" s="34"/>
    </row>
    <row r="162" spans="1:10" x14ac:dyDescent="0.25">
      <c r="A162" s="26">
        <f t="shared" si="10"/>
        <v>46131</v>
      </c>
      <c r="B162" s="27">
        <f t="shared" si="9"/>
        <v>46131</v>
      </c>
      <c r="C162" s="28">
        <f t="shared" si="11"/>
        <v>46131</v>
      </c>
      <c r="D162" s="29">
        <f t="shared" si="12"/>
        <v>17</v>
      </c>
      <c r="E162" s="35"/>
      <c r="F162" s="36"/>
      <c r="G162" s="37"/>
      <c r="H162" s="37"/>
      <c r="I162" s="33"/>
      <c r="J162" s="34"/>
    </row>
    <row r="163" spans="1:10" x14ac:dyDescent="0.25">
      <c r="A163" s="26">
        <f t="shared" si="10"/>
        <v>46132</v>
      </c>
      <c r="B163" s="27">
        <f t="shared" si="9"/>
        <v>46132</v>
      </c>
      <c r="C163" s="28">
        <f t="shared" si="11"/>
        <v>46132</v>
      </c>
      <c r="D163" s="29">
        <f t="shared" si="12"/>
        <v>17</v>
      </c>
      <c r="E163" s="35">
        <v>8.5</v>
      </c>
      <c r="F163" s="36" t="s">
        <v>10</v>
      </c>
      <c r="G163" s="37" t="s">
        <v>11</v>
      </c>
      <c r="H163" s="39" t="s">
        <v>71</v>
      </c>
      <c r="I163" s="33"/>
      <c r="J163" s="34"/>
    </row>
    <row r="164" spans="1:10" x14ac:dyDescent="0.25">
      <c r="A164" s="26">
        <f t="shared" si="10"/>
        <v>46133</v>
      </c>
      <c r="B164" s="27">
        <f t="shared" si="9"/>
        <v>46133</v>
      </c>
      <c r="C164" s="28">
        <f t="shared" si="11"/>
        <v>46133</v>
      </c>
      <c r="D164" s="29">
        <f t="shared" si="12"/>
        <v>17</v>
      </c>
      <c r="E164" s="35">
        <v>1.5</v>
      </c>
      <c r="F164" s="36" t="s">
        <v>14</v>
      </c>
      <c r="G164" s="37" t="s">
        <v>15</v>
      </c>
      <c r="H164" s="37" t="s">
        <v>16</v>
      </c>
      <c r="I164" s="33"/>
      <c r="J164" s="34"/>
    </row>
    <row r="165" spans="1:10" x14ac:dyDescent="0.25">
      <c r="A165" s="26">
        <v>46133</v>
      </c>
      <c r="B165" s="27">
        <v>46133</v>
      </c>
      <c r="C165" s="28">
        <v>46133</v>
      </c>
      <c r="D165" s="29">
        <v>17</v>
      </c>
      <c r="E165" s="35">
        <v>7</v>
      </c>
      <c r="F165" s="36" t="s">
        <v>10</v>
      </c>
      <c r="G165" s="37" t="s">
        <v>11</v>
      </c>
      <c r="H165" s="39" t="s">
        <v>71</v>
      </c>
      <c r="I165" s="33"/>
      <c r="J165" s="34"/>
    </row>
    <row r="166" spans="1:10" x14ac:dyDescent="0.25">
      <c r="A166" s="26">
        <f t="shared" si="10"/>
        <v>46134</v>
      </c>
      <c r="B166" s="27">
        <f>+B164+1</f>
        <v>46134</v>
      </c>
      <c r="C166" s="28">
        <f t="shared" si="11"/>
        <v>46134</v>
      </c>
      <c r="D166" s="29">
        <f t="shared" si="12"/>
        <v>17</v>
      </c>
      <c r="E166" s="35">
        <v>8.5</v>
      </c>
      <c r="F166" s="36" t="s">
        <v>10</v>
      </c>
      <c r="G166" s="37" t="s">
        <v>11</v>
      </c>
      <c r="H166" s="40" t="s">
        <v>72</v>
      </c>
      <c r="I166" s="33"/>
      <c r="J166" s="34"/>
    </row>
    <row r="167" spans="1:10" x14ac:dyDescent="0.25">
      <c r="A167" s="26">
        <f t="shared" si="10"/>
        <v>46135</v>
      </c>
      <c r="B167" s="27">
        <f>+B166+1</f>
        <v>46135</v>
      </c>
      <c r="C167" s="28">
        <f t="shared" si="11"/>
        <v>46135</v>
      </c>
      <c r="D167" s="29">
        <f t="shared" si="12"/>
        <v>17</v>
      </c>
      <c r="E167" s="35">
        <v>1.5</v>
      </c>
      <c r="F167" s="36" t="s">
        <v>14</v>
      </c>
      <c r="G167" s="37" t="s">
        <v>15</v>
      </c>
      <c r="H167" s="37" t="s">
        <v>16</v>
      </c>
      <c r="I167" s="33"/>
      <c r="J167" s="34"/>
    </row>
    <row r="168" spans="1:10" x14ac:dyDescent="0.25">
      <c r="A168" s="26">
        <v>46135</v>
      </c>
      <c r="B168" s="27">
        <v>46135</v>
      </c>
      <c r="C168" s="28">
        <v>46135</v>
      </c>
      <c r="D168" s="29">
        <v>17</v>
      </c>
      <c r="E168" s="35">
        <v>4</v>
      </c>
      <c r="F168" s="36" t="s">
        <v>10</v>
      </c>
      <c r="G168" s="37" t="s">
        <v>11</v>
      </c>
      <c r="H168" s="40" t="s">
        <v>72</v>
      </c>
      <c r="I168" s="33"/>
      <c r="J168" s="34"/>
    </row>
    <row r="169" spans="1:10" x14ac:dyDescent="0.25">
      <c r="A169" s="26">
        <v>46135</v>
      </c>
      <c r="B169" s="27">
        <v>46135</v>
      </c>
      <c r="C169" s="28">
        <v>46135</v>
      </c>
      <c r="D169" s="29">
        <v>17</v>
      </c>
      <c r="E169" s="35">
        <v>3</v>
      </c>
      <c r="F169" s="36" t="s">
        <v>10</v>
      </c>
      <c r="G169" s="37" t="s">
        <v>31</v>
      </c>
      <c r="H169" s="40" t="s">
        <v>63</v>
      </c>
      <c r="I169" s="33"/>
      <c r="J169" s="34"/>
    </row>
    <row r="170" spans="1:10" x14ac:dyDescent="0.25">
      <c r="A170" s="26">
        <f t="shared" si="10"/>
        <v>46136</v>
      </c>
      <c r="B170" s="27">
        <f>+B167+1</f>
        <v>46136</v>
      </c>
      <c r="C170" s="28">
        <f t="shared" si="11"/>
        <v>46136</v>
      </c>
      <c r="D170" s="29">
        <f t="shared" si="12"/>
        <v>17</v>
      </c>
      <c r="E170" s="35">
        <v>6</v>
      </c>
      <c r="F170" s="36" t="s">
        <v>14</v>
      </c>
      <c r="G170" s="37" t="s">
        <v>25</v>
      </c>
      <c r="H170" s="37" t="s">
        <v>26</v>
      </c>
      <c r="I170" s="33"/>
      <c r="J170" s="34">
        <f>SUM(E163:E170)</f>
        <v>40</v>
      </c>
    </row>
    <row r="171" spans="1:10" x14ac:dyDescent="0.25">
      <c r="A171" s="26">
        <f t="shared" si="10"/>
        <v>46137</v>
      </c>
      <c r="B171" s="27">
        <f t="shared" si="9"/>
        <v>46137</v>
      </c>
      <c r="C171" s="28">
        <f t="shared" si="11"/>
        <v>46137</v>
      </c>
      <c r="D171" s="29">
        <f t="shared" si="12"/>
        <v>17</v>
      </c>
      <c r="E171" s="35"/>
      <c r="F171" s="36"/>
      <c r="G171" s="37"/>
      <c r="H171" s="37"/>
      <c r="I171" s="33"/>
      <c r="J171" s="34"/>
    </row>
    <row r="172" spans="1:10" x14ac:dyDescent="0.25">
      <c r="A172" s="26">
        <f t="shared" si="10"/>
        <v>46138</v>
      </c>
      <c r="B172" s="27">
        <f t="shared" si="9"/>
        <v>46138</v>
      </c>
      <c r="C172" s="28">
        <f t="shared" si="11"/>
        <v>46138</v>
      </c>
      <c r="D172" s="29">
        <f t="shared" si="12"/>
        <v>18</v>
      </c>
      <c r="E172" s="35"/>
      <c r="F172" s="36"/>
      <c r="G172" s="37"/>
      <c r="H172" s="37"/>
      <c r="I172" s="33"/>
      <c r="J172" s="34"/>
    </row>
    <row r="173" spans="1:10" x14ac:dyDescent="0.25">
      <c r="A173" s="26">
        <f t="shared" si="10"/>
        <v>46139</v>
      </c>
      <c r="B173" s="27">
        <f t="shared" si="9"/>
        <v>46139</v>
      </c>
      <c r="C173" s="28">
        <f t="shared" si="11"/>
        <v>46139</v>
      </c>
      <c r="D173" s="29">
        <f t="shared" si="12"/>
        <v>18</v>
      </c>
      <c r="E173" s="35">
        <v>7.5</v>
      </c>
      <c r="F173" s="36" t="s">
        <v>10</v>
      </c>
      <c r="G173" s="37" t="s">
        <v>31</v>
      </c>
      <c r="H173" s="40" t="s">
        <v>63</v>
      </c>
      <c r="I173" s="33"/>
      <c r="J173" s="34"/>
    </row>
    <row r="174" spans="1:10" x14ac:dyDescent="0.25">
      <c r="A174" s="26">
        <v>46139</v>
      </c>
      <c r="B174" s="27">
        <v>46139</v>
      </c>
      <c r="C174" s="28">
        <v>46139</v>
      </c>
      <c r="D174" s="29">
        <v>18</v>
      </c>
      <c r="E174" s="35">
        <v>1</v>
      </c>
      <c r="F174" s="36" t="s">
        <v>14</v>
      </c>
      <c r="G174" s="37" t="s">
        <v>25</v>
      </c>
      <c r="H174" s="37" t="s">
        <v>73</v>
      </c>
      <c r="I174" s="33"/>
      <c r="J174" s="34"/>
    </row>
    <row r="175" spans="1:10" x14ac:dyDescent="0.25">
      <c r="A175" s="26">
        <f t="shared" si="10"/>
        <v>46140</v>
      </c>
      <c r="B175" s="27">
        <f>+B173+1</f>
        <v>46140</v>
      </c>
      <c r="C175" s="28">
        <f t="shared" si="11"/>
        <v>46140</v>
      </c>
      <c r="D175" s="29">
        <f t="shared" si="12"/>
        <v>18</v>
      </c>
      <c r="E175" s="35">
        <v>1.5</v>
      </c>
      <c r="F175" s="36" t="s">
        <v>14</v>
      </c>
      <c r="G175" s="37" t="s">
        <v>15</v>
      </c>
      <c r="H175" s="37" t="s">
        <v>16</v>
      </c>
      <c r="I175" s="33"/>
      <c r="J175" s="34"/>
    </row>
    <row r="176" spans="1:10" x14ac:dyDescent="0.25">
      <c r="A176" s="26">
        <v>46140</v>
      </c>
      <c r="B176" s="27">
        <v>46140</v>
      </c>
      <c r="C176" s="28">
        <v>46140</v>
      </c>
      <c r="D176" s="29">
        <v>18</v>
      </c>
      <c r="E176" s="35">
        <v>7</v>
      </c>
      <c r="F176" s="36" t="s">
        <v>10</v>
      </c>
      <c r="G176" s="37" t="s">
        <v>31</v>
      </c>
      <c r="H176" s="40" t="s">
        <v>63</v>
      </c>
      <c r="I176" s="33"/>
      <c r="J176" s="34"/>
    </row>
    <row r="177" spans="1:10" x14ac:dyDescent="0.25">
      <c r="A177" s="26">
        <f t="shared" si="10"/>
        <v>46141</v>
      </c>
      <c r="B177" s="27">
        <f>+B175+1</f>
        <v>46141</v>
      </c>
      <c r="C177" s="28">
        <f t="shared" si="11"/>
        <v>46141</v>
      </c>
      <c r="D177" s="29">
        <f t="shared" si="12"/>
        <v>18</v>
      </c>
      <c r="E177" s="35">
        <v>8.5</v>
      </c>
      <c r="F177" s="36" t="s">
        <v>14</v>
      </c>
      <c r="G177" s="37" t="s">
        <v>25</v>
      </c>
      <c r="H177" s="37" t="s">
        <v>74</v>
      </c>
      <c r="I177" s="33"/>
      <c r="J177" s="34"/>
    </row>
    <row r="178" spans="1:10" x14ac:dyDescent="0.25">
      <c r="A178" s="26">
        <f t="shared" si="10"/>
        <v>46142</v>
      </c>
      <c r="B178" s="27">
        <f t="shared" si="9"/>
        <v>46142</v>
      </c>
      <c r="C178" s="28">
        <f t="shared" si="11"/>
        <v>46142</v>
      </c>
      <c r="D178" s="29">
        <f t="shared" si="12"/>
        <v>18</v>
      </c>
      <c r="E178" s="35">
        <v>1.5</v>
      </c>
      <c r="F178" s="36" t="s">
        <v>14</v>
      </c>
      <c r="G178" s="37" t="s">
        <v>15</v>
      </c>
      <c r="H178" s="37" t="s">
        <v>16</v>
      </c>
      <c r="I178" s="33"/>
      <c r="J178" s="34"/>
    </row>
    <row r="179" spans="1:10" x14ac:dyDescent="0.25">
      <c r="A179" s="26">
        <v>46142</v>
      </c>
      <c r="B179" s="27">
        <v>46142</v>
      </c>
      <c r="C179" s="28">
        <v>46142</v>
      </c>
      <c r="D179" s="29">
        <v>18</v>
      </c>
      <c r="E179" s="35">
        <v>7</v>
      </c>
      <c r="F179" s="36" t="s">
        <v>14</v>
      </c>
      <c r="G179" s="37" t="s">
        <v>25</v>
      </c>
      <c r="H179" s="37" t="s">
        <v>74</v>
      </c>
      <c r="I179" s="33"/>
      <c r="J179" s="34"/>
    </row>
    <row r="180" spans="1:10" x14ac:dyDescent="0.25">
      <c r="A180" s="26">
        <f t="shared" si="10"/>
        <v>46143</v>
      </c>
      <c r="B180" s="27">
        <f>+B178+1</f>
        <v>46143</v>
      </c>
      <c r="C180" s="28">
        <f t="shared" si="11"/>
        <v>46143</v>
      </c>
      <c r="D180" s="29">
        <f t="shared" si="12"/>
        <v>18</v>
      </c>
      <c r="E180" s="30" t="s">
        <v>6</v>
      </c>
      <c r="F180" s="31"/>
      <c r="G180" s="32"/>
      <c r="H180" s="32"/>
      <c r="I180" s="33"/>
      <c r="J180" s="34">
        <f>SUM(E173:E180)</f>
        <v>34</v>
      </c>
    </row>
    <row r="181" spans="1:10" x14ac:dyDescent="0.25">
      <c r="A181" s="26">
        <f t="shared" si="10"/>
        <v>46144</v>
      </c>
      <c r="B181" s="27">
        <f t="shared" si="9"/>
        <v>46144</v>
      </c>
      <c r="C181" s="28">
        <f t="shared" si="11"/>
        <v>46144</v>
      </c>
      <c r="D181" s="29">
        <f t="shared" si="12"/>
        <v>18</v>
      </c>
      <c r="E181" s="35"/>
      <c r="F181" s="36"/>
      <c r="G181" s="37"/>
      <c r="H181" s="37"/>
      <c r="I181" s="33"/>
      <c r="J181" s="34"/>
    </row>
    <row r="182" spans="1:10" x14ac:dyDescent="0.25">
      <c r="A182" s="26">
        <f t="shared" si="10"/>
        <v>46145</v>
      </c>
      <c r="B182" s="27">
        <f t="shared" si="9"/>
        <v>46145</v>
      </c>
      <c r="C182" s="28">
        <f t="shared" si="11"/>
        <v>46145</v>
      </c>
      <c r="D182" s="29">
        <f t="shared" si="12"/>
        <v>19</v>
      </c>
      <c r="E182" s="35"/>
      <c r="F182" s="36"/>
      <c r="G182" s="37"/>
      <c r="H182" s="37"/>
      <c r="I182" s="33"/>
      <c r="J182" s="34"/>
    </row>
    <row r="183" spans="1:10" x14ac:dyDescent="0.25">
      <c r="A183" s="26">
        <f t="shared" si="10"/>
        <v>46146</v>
      </c>
      <c r="B183" s="27">
        <f t="shared" si="9"/>
        <v>46146</v>
      </c>
      <c r="C183" s="28">
        <f t="shared" si="11"/>
        <v>46146</v>
      </c>
      <c r="D183" s="29">
        <f t="shared" si="12"/>
        <v>19</v>
      </c>
      <c r="E183" s="35">
        <v>8.5</v>
      </c>
      <c r="F183" s="36" t="s">
        <v>14</v>
      </c>
      <c r="G183" s="37" t="s">
        <v>25</v>
      </c>
      <c r="H183" s="37" t="s">
        <v>75</v>
      </c>
      <c r="I183" s="33"/>
      <c r="J183" s="34"/>
    </row>
    <row r="184" spans="1:10" x14ac:dyDescent="0.25">
      <c r="A184" s="26">
        <f t="shared" si="10"/>
        <v>46147</v>
      </c>
      <c r="B184" s="27">
        <f t="shared" si="9"/>
        <v>46147</v>
      </c>
      <c r="C184" s="28">
        <f t="shared" si="11"/>
        <v>46147</v>
      </c>
      <c r="D184" s="29">
        <f t="shared" si="12"/>
        <v>19</v>
      </c>
      <c r="E184" s="35">
        <v>1.5</v>
      </c>
      <c r="F184" s="36" t="s">
        <v>14</v>
      </c>
      <c r="G184" s="37" t="s">
        <v>15</v>
      </c>
      <c r="H184" s="37" t="s">
        <v>16</v>
      </c>
      <c r="I184" s="33"/>
      <c r="J184" s="34"/>
    </row>
    <row r="185" spans="1:10" x14ac:dyDescent="0.25">
      <c r="A185" s="26">
        <v>46147</v>
      </c>
      <c r="B185" s="27">
        <v>46147</v>
      </c>
      <c r="C185" s="28">
        <v>46147</v>
      </c>
      <c r="D185" s="29">
        <v>19</v>
      </c>
      <c r="E185" s="35">
        <v>7</v>
      </c>
      <c r="F185" s="36" t="s">
        <v>14</v>
      </c>
      <c r="G185" s="37" t="s">
        <v>25</v>
      </c>
      <c r="H185" s="37" t="s">
        <v>75</v>
      </c>
      <c r="I185" s="33"/>
      <c r="J185" s="34"/>
    </row>
    <row r="186" spans="1:10" x14ac:dyDescent="0.25">
      <c r="A186" s="26">
        <f t="shared" si="10"/>
        <v>46148</v>
      </c>
      <c r="B186" s="27">
        <f>+B184+1</f>
        <v>46148</v>
      </c>
      <c r="C186" s="28">
        <f t="shared" si="11"/>
        <v>46148</v>
      </c>
      <c r="D186" s="29">
        <f t="shared" si="12"/>
        <v>19</v>
      </c>
      <c r="E186" s="35">
        <v>6.5</v>
      </c>
      <c r="F186" s="36" t="s">
        <v>14</v>
      </c>
      <c r="G186" s="37" t="s">
        <v>25</v>
      </c>
      <c r="H186" s="37" t="s">
        <v>75</v>
      </c>
      <c r="I186" s="33"/>
      <c r="J186" s="34"/>
    </row>
    <row r="187" spans="1:10" x14ac:dyDescent="0.25">
      <c r="A187" s="26">
        <v>46148</v>
      </c>
      <c r="B187" s="27">
        <v>46148</v>
      </c>
      <c r="C187" s="28">
        <v>46148</v>
      </c>
      <c r="D187" s="29">
        <v>19</v>
      </c>
      <c r="E187" s="35">
        <v>2</v>
      </c>
      <c r="F187" s="36" t="s">
        <v>14</v>
      </c>
      <c r="G187" s="37" t="s">
        <v>20</v>
      </c>
      <c r="H187" s="37" t="s">
        <v>76</v>
      </c>
      <c r="I187" s="33"/>
      <c r="J187" s="34"/>
    </row>
    <row r="188" spans="1:10" x14ac:dyDescent="0.25">
      <c r="A188" s="26">
        <f t="shared" si="10"/>
        <v>46149</v>
      </c>
      <c r="B188" s="27">
        <f>+B186+1</f>
        <v>46149</v>
      </c>
      <c r="C188" s="28">
        <f t="shared" si="11"/>
        <v>46149</v>
      </c>
      <c r="D188" s="29">
        <f t="shared" si="12"/>
        <v>19</v>
      </c>
      <c r="E188" s="35">
        <v>1.5</v>
      </c>
      <c r="F188" s="36" t="s">
        <v>14</v>
      </c>
      <c r="G188" s="37" t="s">
        <v>15</v>
      </c>
      <c r="H188" s="37" t="s">
        <v>16</v>
      </c>
      <c r="I188" s="33"/>
      <c r="J188" s="34"/>
    </row>
    <row r="189" spans="1:10" x14ac:dyDescent="0.25">
      <c r="A189" s="26">
        <v>46149</v>
      </c>
      <c r="B189" s="27">
        <v>46149</v>
      </c>
      <c r="C189" s="28">
        <v>46149</v>
      </c>
      <c r="D189" s="29">
        <v>19</v>
      </c>
      <c r="E189" s="35">
        <v>7</v>
      </c>
      <c r="F189" s="36" t="s">
        <v>14</v>
      </c>
      <c r="G189" s="37" t="s">
        <v>25</v>
      </c>
      <c r="H189" s="37" t="s">
        <v>75</v>
      </c>
      <c r="I189" s="33"/>
      <c r="J189" s="34"/>
    </row>
    <row r="190" spans="1:10" x14ac:dyDescent="0.25">
      <c r="A190" s="26">
        <f t="shared" si="10"/>
        <v>46150</v>
      </c>
      <c r="B190" s="27">
        <f>+B188+1</f>
        <v>46150</v>
      </c>
      <c r="C190" s="28">
        <f t="shared" si="11"/>
        <v>46150</v>
      </c>
      <c r="D190" s="29">
        <f t="shared" si="12"/>
        <v>19</v>
      </c>
      <c r="E190" s="35">
        <v>1.5</v>
      </c>
      <c r="F190" s="36" t="s">
        <v>14</v>
      </c>
      <c r="G190" s="37" t="s">
        <v>15</v>
      </c>
      <c r="H190" s="37" t="s">
        <v>16</v>
      </c>
      <c r="I190" s="33"/>
      <c r="J190" s="34"/>
    </row>
    <row r="191" spans="1:10" x14ac:dyDescent="0.25">
      <c r="A191" s="26">
        <v>46150</v>
      </c>
      <c r="B191" s="27">
        <v>46150</v>
      </c>
      <c r="C191" s="28">
        <v>46150</v>
      </c>
      <c r="D191" s="29">
        <v>19</v>
      </c>
      <c r="E191" s="35">
        <v>1</v>
      </c>
      <c r="F191" s="36" t="s">
        <v>10</v>
      </c>
      <c r="G191" s="37" t="s">
        <v>31</v>
      </c>
      <c r="H191" s="37" t="s">
        <v>77</v>
      </c>
      <c r="I191" s="33"/>
      <c r="J191" s="34"/>
    </row>
    <row r="192" spans="1:10" x14ac:dyDescent="0.25">
      <c r="A192" s="26">
        <v>46150</v>
      </c>
      <c r="B192" s="27">
        <v>46150</v>
      </c>
      <c r="C192" s="28">
        <v>46150</v>
      </c>
      <c r="D192" s="29">
        <v>19</v>
      </c>
      <c r="E192" s="35">
        <v>1</v>
      </c>
      <c r="F192" s="36" t="s">
        <v>10</v>
      </c>
      <c r="G192" s="37" t="s">
        <v>11</v>
      </c>
      <c r="H192" s="37" t="s">
        <v>78</v>
      </c>
      <c r="I192" s="33"/>
      <c r="J192" s="34"/>
    </row>
    <row r="193" spans="1:10" x14ac:dyDescent="0.25">
      <c r="A193" s="26">
        <v>46150</v>
      </c>
      <c r="B193" s="27">
        <v>46150</v>
      </c>
      <c r="C193" s="28">
        <v>46150</v>
      </c>
      <c r="D193" s="29">
        <v>19</v>
      </c>
      <c r="E193" s="35">
        <v>2.5</v>
      </c>
      <c r="F193" s="36" t="s">
        <v>14</v>
      </c>
      <c r="G193" s="37" t="s">
        <v>25</v>
      </c>
      <c r="H193" s="37" t="s">
        <v>75</v>
      </c>
      <c r="I193" s="33"/>
      <c r="J193" s="34">
        <f>SUM(E183:E193)</f>
        <v>40</v>
      </c>
    </row>
    <row r="194" spans="1:10" x14ac:dyDescent="0.25">
      <c r="A194" s="26">
        <f t="shared" si="10"/>
        <v>46151</v>
      </c>
      <c r="B194" s="27">
        <f>+B190+1</f>
        <v>46151</v>
      </c>
      <c r="C194" s="28">
        <f t="shared" si="11"/>
        <v>46151</v>
      </c>
      <c r="D194" s="29">
        <f t="shared" si="12"/>
        <v>19</v>
      </c>
      <c r="E194" s="35"/>
      <c r="F194" s="36"/>
      <c r="G194" s="37"/>
      <c r="H194" s="37"/>
      <c r="I194" s="33"/>
      <c r="J194" s="34"/>
    </row>
    <row r="195" spans="1:10" x14ac:dyDescent="0.25">
      <c r="A195" s="26">
        <f t="shared" si="10"/>
        <v>46152</v>
      </c>
      <c r="B195" s="27">
        <f t="shared" si="9"/>
        <v>46152</v>
      </c>
      <c r="C195" s="28">
        <f t="shared" si="11"/>
        <v>46152</v>
      </c>
      <c r="D195" s="29">
        <f t="shared" si="12"/>
        <v>20</v>
      </c>
      <c r="E195" s="35"/>
      <c r="F195" s="36"/>
      <c r="G195" s="37"/>
      <c r="H195" s="37"/>
      <c r="I195" s="33"/>
      <c r="J195" s="34"/>
    </row>
    <row r="196" spans="1:10" x14ac:dyDescent="0.25">
      <c r="A196" s="26">
        <f t="shared" si="10"/>
        <v>46153</v>
      </c>
      <c r="B196" s="27">
        <f t="shared" si="9"/>
        <v>46153</v>
      </c>
      <c r="C196" s="28">
        <f t="shared" si="11"/>
        <v>46153</v>
      </c>
      <c r="D196" s="29">
        <f t="shared" si="12"/>
        <v>20</v>
      </c>
      <c r="E196" s="35">
        <v>8.5</v>
      </c>
      <c r="F196" s="36" t="s">
        <v>14</v>
      </c>
      <c r="G196" s="37" t="s">
        <v>25</v>
      </c>
      <c r="H196" s="37" t="s">
        <v>75</v>
      </c>
      <c r="I196" s="33"/>
      <c r="J196" s="34"/>
    </row>
    <row r="197" spans="1:10" x14ac:dyDescent="0.25">
      <c r="A197" s="26">
        <f t="shared" si="10"/>
        <v>46154</v>
      </c>
      <c r="B197" s="27">
        <f>+B196+1</f>
        <v>46154</v>
      </c>
      <c r="C197" s="28">
        <f t="shared" si="11"/>
        <v>46154</v>
      </c>
      <c r="D197" s="29">
        <f t="shared" si="12"/>
        <v>20</v>
      </c>
      <c r="E197" s="35">
        <v>1.5</v>
      </c>
      <c r="F197" s="36" t="s">
        <v>14</v>
      </c>
      <c r="G197" s="37" t="s">
        <v>15</v>
      </c>
      <c r="H197" s="37" t="s">
        <v>16</v>
      </c>
      <c r="I197" s="33"/>
      <c r="J197" s="34"/>
    </row>
    <row r="198" spans="1:10" x14ac:dyDescent="0.25">
      <c r="A198" s="26">
        <v>46154</v>
      </c>
      <c r="B198" s="27">
        <v>46154</v>
      </c>
      <c r="C198" s="28">
        <v>46154</v>
      </c>
      <c r="D198" s="29">
        <v>20</v>
      </c>
      <c r="E198" s="35">
        <v>1.5</v>
      </c>
      <c r="F198" s="36" t="s">
        <v>14</v>
      </c>
      <c r="G198" s="37" t="s">
        <v>20</v>
      </c>
      <c r="H198" s="37" t="s">
        <v>33</v>
      </c>
      <c r="I198" s="33"/>
      <c r="J198" s="34"/>
    </row>
    <row r="199" spans="1:10" x14ac:dyDescent="0.25">
      <c r="A199" s="26">
        <v>46154</v>
      </c>
      <c r="B199" s="27">
        <v>46154</v>
      </c>
      <c r="C199" s="28">
        <v>46154</v>
      </c>
      <c r="D199" s="29">
        <v>20</v>
      </c>
      <c r="E199" s="35">
        <v>5.5</v>
      </c>
      <c r="F199" s="36" t="s">
        <v>14</v>
      </c>
      <c r="G199" s="37" t="s">
        <v>25</v>
      </c>
      <c r="H199" s="37" t="s">
        <v>75</v>
      </c>
      <c r="I199" s="33"/>
      <c r="J199" s="34"/>
    </row>
    <row r="200" spans="1:10" x14ac:dyDescent="0.25">
      <c r="A200" s="26">
        <f t="shared" si="10"/>
        <v>46155</v>
      </c>
      <c r="B200" s="27">
        <f>+B197+1</f>
        <v>46155</v>
      </c>
      <c r="C200" s="28">
        <f t="shared" si="11"/>
        <v>46155</v>
      </c>
      <c r="D200" s="29">
        <f t="shared" si="12"/>
        <v>20</v>
      </c>
      <c r="E200" s="35">
        <v>5</v>
      </c>
      <c r="F200" s="36" t="s">
        <v>22</v>
      </c>
      <c r="G200" s="37" t="s">
        <v>23</v>
      </c>
      <c r="H200" s="37" t="s">
        <v>79</v>
      </c>
      <c r="I200" s="33"/>
      <c r="J200" s="34"/>
    </row>
    <row r="201" spans="1:10" x14ac:dyDescent="0.25">
      <c r="A201" s="26">
        <v>46155</v>
      </c>
      <c r="B201" s="27">
        <v>46155</v>
      </c>
      <c r="C201" s="28">
        <v>46155</v>
      </c>
      <c r="D201" s="29">
        <v>20</v>
      </c>
      <c r="E201" s="35">
        <v>1</v>
      </c>
      <c r="F201" s="36" t="s">
        <v>14</v>
      </c>
      <c r="G201" s="37" t="s">
        <v>15</v>
      </c>
      <c r="H201" s="37" t="s">
        <v>80</v>
      </c>
      <c r="I201" s="33"/>
      <c r="J201" s="34"/>
    </row>
    <row r="202" spans="1:10" x14ac:dyDescent="0.25">
      <c r="A202" s="26">
        <v>46155</v>
      </c>
      <c r="B202" s="27">
        <v>46155</v>
      </c>
      <c r="C202" s="28">
        <v>46155</v>
      </c>
      <c r="D202" s="29">
        <v>20</v>
      </c>
      <c r="E202" s="35">
        <v>2.5</v>
      </c>
      <c r="F202" s="36" t="s">
        <v>14</v>
      </c>
      <c r="G202" s="37" t="s">
        <v>25</v>
      </c>
      <c r="H202" s="37" t="s">
        <v>75</v>
      </c>
      <c r="I202" s="33"/>
      <c r="J202" s="34"/>
    </row>
    <row r="203" spans="1:10" x14ac:dyDescent="0.25">
      <c r="A203" s="26">
        <f t="shared" si="10"/>
        <v>46156</v>
      </c>
      <c r="B203" s="27">
        <f>+B200+1</f>
        <v>46156</v>
      </c>
      <c r="C203" s="28">
        <f t="shared" si="11"/>
        <v>46156</v>
      </c>
      <c r="D203" s="29">
        <f t="shared" si="12"/>
        <v>20</v>
      </c>
      <c r="E203" s="35">
        <v>1.5</v>
      </c>
      <c r="F203" s="36" t="s">
        <v>14</v>
      </c>
      <c r="G203" s="37" t="s">
        <v>15</v>
      </c>
      <c r="H203" s="37" t="s">
        <v>16</v>
      </c>
      <c r="I203" s="33"/>
      <c r="J203" s="34"/>
    </row>
    <row r="204" spans="1:10" x14ac:dyDescent="0.25">
      <c r="A204" s="26">
        <v>46156</v>
      </c>
      <c r="B204" s="27">
        <v>46156</v>
      </c>
      <c r="C204" s="28">
        <v>46156</v>
      </c>
      <c r="D204" s="29">
        <v>20</v>
      </c>
      <c r="E204" s="35">
        <v>2</v>
      </c>
      <c r="F204" s="36" t="s">
        <v>14</v>
      </c>
      <c r="G204" s="37" t="s">
        <v>15</v>
      </c>
      <c r="H204" s="37" t="s">
        <v>81</v>
      </c>
      <c r="I204" s="33"/>
      <c r="J204" s="34"/>
    </row>
    <row r="205" spans="1:10" x14ac:dyDescent="0.25">
      <c r="A205" s="26">
        <v>46156</v>
      </c>
      <c r="B205" s="27">
        <v>46156</v>
      </c>
      <c r="C205" s="28">
        <v>46156</v>
      </c>
      <c r="D205" s="29">
        <v>20</v>
      </c>
      <c r="E205" s="35">
        <v>5</v>
      </c>
      <c r="F205" s="36" t="s">
        <v>14</v>
      </c>
      <c r="G205" s="37" t="s">
        <v>25</v>
      </c>
      <c r="H205" s="37" t="s">
        <v>82</v>
      </c>
      <c r="I205" s="33"/>
      <c r="J205" s="34"/>
    </row>
    <row r="206" spans="1:10" x14ac:dyDescent="0.25">
      <c r="A206" s="26">
        <f t="shared" si="10"/>
        <v>46157</v>
      </c>
      <c r="B206" s="27">
        <f>+B203+1</f>
        <v>46157</v>
      </c>
      <c r="C206" s="28">
        <f t="shared" si="11"/>
        <v>46157</v>
      </c>
      <c r="D206" s="29">
        <f t="shared" si="12"/>
        <v>20</v>
      </c>
      <c r="E206" s="30" t="s">
        <v>6</v>
      </c>
      <c r="F206" s="31"/>
      <c r="G206" s="32"/>
      <c r="H206" s="32"/>
      <c r="I206" s="33"/>
      <c r="J206" s="34">
        <f>SUM(E196:E206)</f>
        <v>34</v>
      </c>
    </row>
    <row r="207" spans="1:10" x14ac:dyDescent="0.25">
      <c r="A207" s="26">
        <f t="shared" si="10"/>
        <v>46158</v>
      </c>
      <c r="B207" s="27">
        <f t="shared" ref="B207:B270" si="13">+B206+1</f>
        <v>46158</v>
      </c>
      <c r="C207" s="28">
        <f t="shared" si="11"/>
        <v>46158</v>
      </c>
      <c r="D207" s="29">
        <f t="shared" si="12"/>
        <v>20</v>
      </c>
      <c r="E207" s="35"/>
      <c r="F207" s="36"/>
      <c r="G207" s="37"/>
      <c r="H207" s="37"/>
      <c r="I207" s="33"/>
      <c r="J207" s="34"/>
    </row>
    <row r="208" spans="1:10" x14ac:dyDescent="0.25">
      <c r="A208" s="26">
        <f t="shared" si="10"/>
        <v>46159</v>
      </c>
      <c r="B208" s="27">
        <f t="shared" si="13"/>
        <v>46159</v>
      </c>
      <c r="C208" s="28">
        <f t="shared" si="11"/>
        <v>46159</v>
      </c>
      <c r="D208" s="29">
        <f t="shared" si="12"/>
        <v>21</v>
      </c>
      <c r="E208" s="35"/>
      <c r="F208" s="36"/>
      <c r="G208" s="37"/>
      <c r="H208" s="37"/>
      <c r="I208" s="33"/>
      <c r="J208" s="34"/>
    </row>
    <row r="209" spans="1:10" x14ac:dyDescent="0.25">
      <c r="A209" s="26">
        <f t="shared" si="10"/>
        <v>46160</v>
      </c>
      <c r="B209" s="27">
        <f t="shared" si="13"/>
        <v>46160</v>
      </c>
      <c r="C209" s="28">
        <f t="shared" si="11"/>
        <v>46160</v>
      </c>
      <c r="D209" s="29">
        <f t="shared" si="12"/>
        <v>21</v>
      </c>
      <c r="E209" s="35">
        <v>8.5</v>
      </c>
      <c r="F209" s="36" t="s">
        <v>14</v>
      </c>
      <c r="G209" s="37" t="s">
        <v>25</v>
      </c>
      <c r="H209" s="37" t="s">
        <v>83</v>
      </c>
      <c r="I209" s="33"/>
      <c r="J209" s="34"/>
    </row>
    <row r="210" spans="1:10" x14ac:dyDescent="0.25">
      <c r="A210" s="26">
        <f t="shared" si="10"/>
        <v>46161</v>
      </c>
      <c r="B210" s="27">
        <f t="shared" si="13"/>
        <v>46161</v>
      </c>
      <c r="C210" s="28">
        <f t="shared" si="11"/>
        <v>46161</v>
      </c>
      <c r="D210" s="29">
        <f t="shared" si="12"/>
        <v>21</v>
      </c>
      <c r="E210" s="35">
        <v>1.5</v>
      </c>
      <c r="F210" s="36" t="s">
        <v>14</v>
      </c>
      <c r="G210" s="37" t="s">
        <v>15</v>
      </c>
      <c r="H210" s="37" t="s">
        <v>16</v>
      </c>
      <c r="I210" s="33"/>
      <c r="J210" s="34"/>
    </row>
    <row r="211" spans="1:10" x14ac:dyDescent="0.25">
      <c r="A211" s="26">
        <v>46161</v>
      </c>
      <c r="B211" s="27">
        <v>46161</v>
      </c>
      <c r="C211" s="28">
        <v>46161</v>
      </c>
      <c r="D211" s="29">
        <v>21</v>
      </c>
      <c r="E211" s="35">
        <v>7</v>
      </c>
      <c r="F211" s="36" t="s">
        <v>10</v>
      </c>
      <c r="G211" s="37" t="s">
        <v>31</v>
      </c>
      <c r="H211" s="40" t="s">
        <v>84</v>
      </c>
      <c r="I211" s="33"/>
      <c r="J211" s="34"/>
    </row>
    <row r="212" spans="1:10" x14ac:dyDescent="0.25">
      <c r="A212" s="26">
        <f t="shared" si="10"/>
        <v>46162</v>
      </c>
      <c r="B212" s="27">
        <f>+B210+1</f>
        <v>46162</v>
      </c>
      <c r="C212" s="28">
        <f t="shared" si="11"/>
        <v>46162</v>
      </c>
      <c r="D212" s="29">
        <f t="shared" si="12"/>
        <v>21</v>
      </c>
      <c r="E212" s="35">
        <v>1.5</v>
      </c>
      <c r="F212" s="36" t="s">
        <v>10</v>
      </c>
      <c r="G212" s="37" t="s">
        <v>31</v>
      </c>
      <c r="H212" s="37" t="s">
        <v>77</v>
      </c>
      <c r="I212" s="33"/>
      <c r="J212" s="34"/>
    </row>
    <row r="213" spans="1:10" x14ac:dyDescent="0.25">
      <c r="A213" s="26">
        <v>46162</v>
      </c>
      <c r="B213" s="27">
        <v>46162</v>
      </c>
      <c r="C213" s="28">
        <v>46162</v>
      </c>
      <c r="D213" s="29">
        <v>21</v>
      </c>
      <c r="E213" s="35">
        <v>1.5</v>
      </c>
      <c r="F213" s="36" t="s">
        <v>10</v>
      </c>
      <c r="G213" s="37" t="s">
        <v>11</v>
      </c>
      <c r="H213" s="37" t="s">
        <v>78</v>
      </c>
      <c r="I213" s="33"/>
      <c r="J213" s="34"/>
    </row>
    <row r="214" spans="1:10" x14ac:dyDescent="0.25">
      <c r="A214" s="26">
        <v>46162</v>
      </c>
      <c r="B214" s="27">
        <v>46162</v>
      </c>
      <c r="C214" s="28">
        <v>46162</v>
      </c>
      <c r="D214" s="29">
        <v>21</v>
      </c>
      <c r="E214" s="35">
        <v>5.5</v>
      </c>
      <c r="F214" s="36" t="s">
        <v>10</v>
      </c>
      <c r="G214" s="37" t="s">
        <v>31</v>
      </c>
      <c r="H214" s="40" t="s">
        <v>84</v>
      </c>
      <c r="I214" s="33"/>
      <c r="J214" s="34"/>
    </row>
    <row r="215" spans="1:10" x14ac:dyDescent="0.25">
      <c r="A215" s="26">
        <f t="shared" si="10"/>
        <v>46163</v>
      </c>
      <c r="B215" s="27">
        <f>+B212+1</f>
        <v>46163</v>
      </c>
      <c r="C215" s="28">
        <f t="shared" si="11"/>
        <v>46163</v>
      </c>
      <c r="D215" s="29">
        <f t="shared" si="12"/>
        <v>21</v>
      </c>
      <c r="E215" s="35">
        <v>1.5</v>
      </c>
      <c r="F215" s="36" t="s">
        <v>14</v>
      </c>
      <c r="G215" s="37" t="s">
        <v>15</v>
      </c>
      <c r="H215" s="37" t="s">
        <v>16</v>
      </c>
      <c r="I215" s="33"/>
      <c r="J215" s="34"/>
    </row>
    <row r="216" spans="1:10" x14ac:dyDescent="0.25">
      <c r="A216" s="26">
        <v>46163</v>
      </c>
      <c r="B216" s="27">
        <v>46163</v>
      </c>
      <c r="C216" s="28">
        <v>46163</v>
      </c>
      <c r="D216" s="29">
        <v>21</v>
      </c>
      <c r="E216" s="35">
        <v>1</v>
      </c>
      <c r="F216" s="36" t="s">
        <v>14</v>
      </c>
      <c r="G216" s="37" t="s">
        <v>20</v>
      </c>
      <c r="H216" s="37" t="s">
        <v>85</v>
      </c>
      <c r="I216" s="33"/>
      <c r="J216" s="34"/>
    </row>
    <row r="217" spans="1:10" x14ac:dyDescent="0.25">
      <c r="A217" s="26">
        <v>46163</v>
      </c>
      <c r="B217" s="27">
        <v>46163</v>
      </c>
      <c r="C217" s="28">
        <v>46163</v>
      </c>
      <c r="D217" s="29">
        <v>21</v>
      </c>
      <c r="E217" s="35">
        <v>3</v>
      </c>
      <c r="F217" s="36" t="s">
        <v>10</v>
      </c>
      <c r="G217" s="37" t="s">
        <v>31</v>
      </c>
      <c r="H217" s="40" t="s">
        <v>84</v>
      </c>
      <c r="I217" s="33"/>
      <c r="J217" s="34"/>
    </row>
    <row r="218" spans="1:10" x14ac:dyDescent="0.25">
      <c r="A218" s="26">
        <v>46163</v>
      </c>
      <c r="B218" s="27">
        <v>46163</v>
      </c>
      <c r="C218" s="28">
        <v>46163</v>
      </c>
      <c r="D218" s="29">
        <v>21</v>
      </c>
      <c r="E218" s="35">
        <v>3</v>
      </c>
      <c r="F218" s="36" t="s">
        <v>14</v>
      </c>
      <c r="G218" s="37" t="s">
        <v>25</v>
      </c>
      <c r="H218" s="37" t="s">
        <v>83</v>
      </c>
      <c r="I218" s="33"/>
      <c r="J218" s="34"/>
    </row>
    <row r="219" spans="1:10" x14ac:dyDescent="0.25">
      <c r="A219" s="26">
        <f t="shared" si="10"/>
        <v>46164</v>
      </c>
      <c r="B219" s="27">
        <f>+B215+1</f>
        <v>46164</v>
      </c>
      <c r="C219" s="28">
        <f t="shared" si="11"/>
        <v>46164</v>
      </c>
      <c r="D219" s="29">
        <f t="shared" si="12"/>
        <v>21</v>
      </c>
      <c r="E219" s="35">
        <v>3</v>
      </c>
      <c r="F219" s="36" t="s">
        <v>14</v>
      </c>
      <c r="G219" s="37" t="s">
        <v>25</v>
      </c>
      <c r="H219" s="37" t="s">
        <v>83</v>
      </c>
      <c r="I219" s="33"/>
      <c r="J219" s="34"/>
    </row>
    <row r="220" spans="1:10" x14ac:dyDescent="0.25">
      <c r="A220" s="26">
        <v>46164</v>
      </c>
      <c r="B220" s="27">
        <v>46164</v>
      </c>
      <c r="C220" s="28">
        <v>46164</v>
      </c>
      <c r="D220" s="29">
        <v>21</v>
      </c>
      <c r="E220" s="35">
        <v>3</v>
      </c>
      <c r="F220" s="36" t="s">
        <v>10</v>
      </c>
      <c r="G220" s="37" t="s">
        <v>31</v>
      </c>
      <c r="H220" s="40" t="s">
        <v>86</v>
      </c>
      <c r="I220" s="33"/>
      <c r="J220" s="34">
        <f>SUM(E209:E220)</f>
        <v>40</v>
      </c>
    </row>
    <row r="221" spans="1:10" x14ac:dyDescent="0.25">
      <c r="A221" s="26">
        <f t="shared" si="10"/>
        <v>46165</v>
      </c>
      <c r="B221" s="27">
        <f>+B219+1</f>
        <v>46165</v>
      </c>
      <c r="C221" s="28">
        <f t="shared" si="11"/>
        <v>46165</v>
      </c>
      <c r="D221" s="29">
        <f t="shared" si="12"/>
        <v>21</v>
      </c>
      <c r="E221" s="35"/>
      <c r="F221" s="36"/>
      <c r="G221" s="37"/>
      <c r="H221" s="37"/>
      <c r="I221" s="33"/>
      <c r="J221" s="34"/>
    </row>
    <row r="222" spans="1:10" x14ac:dyDescent="0.25">
      <c r="A222" s="26">
        <f t="shared" si="10"/>
        <v>46166</v>
      </c>
      <c r="B222" s="27">
        <f t="shared" si="13"/>
        <v>46166</v>
      </c>
      <c r="C222" s="28">
        <f t="shared" si="11"/>
        <v>46166</v>
      </c>
      <c r="D222" s="29">
        <f t="shared" si="12"/>
        <v>22</v>
      </c>
      <c r="E222" s="35"/>
      <c r="F222" s="36"/>
      <c r="G222" s="37"/>
      <c r="H222" s="37"/>
      <c r="I222" s="33"/>
      <c r="J222" s="34"/>
    </row>
    <row r="223" spans="1:10" x14ac:dyDescent="0.25">
      <c r="A223" s="26">
        <f t="shared" si="10"/>
        <v>46167</v>
      </c>
      <c r="B223" s="27">
        <f t="shared" si="13"/>
        <v>46167</v>
      </c>
      <c r="C223" s="28">
        <f t="shared" si="11"/>
        <v>46167</v>
      </c>
      <c r="D223" s="29">
        <f t="shared" si="12"/>
        <v>22</v>
      </c>
      <c r="E223" s="35">
        <v>6</v>
      </c>
      <c r="F223" s="36" t="s">
        <v>10</v>
      </c>
      <c r="G223" s="37" t="s">
        <v>31</v>
      </c>
      <c r="H223" s="40" t="s">
        <v>86</v>
      </c>
      <c r="I223" s="33"/>
      <c r="J223" s="34"/>
    </row>
    <row r="224" spans="1:10" x14ac:dyDescent="0.25">
      <c r="A224" s="26">
        <v>46167</v>
      </c>
      <c r="B224" s="27">
        <v>46167</v>
      </c>
      <c r="C224" s="28">
        <v>46167</v>
      </c>
      <c r="D224" s="29">
        <v>22</v>
      </c>
      <c r="E224" s="35">
        <v>2.5</v>
      </c>
      <c r="F224" s="36" t="s">
        <v>87</v>
      </c>
      <c r="G224" s="37" t="s">
        <v>88</v>
      </c>
      <c r="H224" s="37" t="s">
        <v>89</v>
      </c>
      <c r="I224" s="33"/>
      <c r="J224" s="34"/>
    </row>
    <row r="225" spans="1:10" x14ac:dyDescent="0.25">
      <c r="A225" s="26">
        <f t="shared" si="10"/>
        <v>46168</v>
      </c>
      <c r="B225" s="27">
        <f>+B223+1</f>
        <v>46168</v>
      </c>
      <c r="C225" s="28">
        <f t="shared" si="11"/>
        <v>46168</v>
      </c>
      <c r="D225" s="29">
        <f t="shared" si="12"/>
        <v>22</v>
      </c>
      <c r="E225" s="35">
        <v>1.5</v>
      </c>
      <c r="F225" s="36" t="s">
        <v>14</v>
      </c>
      <c r="G225" s="37" t="s">
        <v>15</v>
      </c>
      <c r="H225" s="37" t="s">
        <v>16</v>
      </c>
      <c r="I225" s="33"/>
      <c r="J225" s="34"/>
    </row>
    <row r="226" spans="1:10" x14ac:dyDescent="0.25">
      <c r="A226" s="26">
        <v>46168</v>
      </c>
      <c r="B226" s="27">
        <v>46168</v>
      </c>
      <c r="C226" s="28">
        <v>46168</v>
      </c>
      <c r="D226" s="29">
        <v>22</v>
      </c>
      <c r="E226" s="35">
        <v>4</v>
      </c>
      <c r="F226" s="36" t="s">
        <v>87</v>
      </c>
      <c r="G226" s="37" t="s">
        <v>88</v>
      </c>
      <c r="H226" s="37" t="s">
        <v>89</v>
      </c>
      <c r="I226" s="33"/>
      <c r="J226" s="34"/>
    </row>
    <row r="227" spans="1:10" x14ac:dyDescent="0.25">
      <c r="A227" s="26">
        <v>46168</v>
      </c>
      <c r="B227" s="27">
        <v>46168</v>
      </c>
      <c r="C227" s="28">
        <v>46168</v>
      </c>
      <c r="D227" s="29">
        <v>22</v>
      </c>
      <c r="E227" s="35">
        <v>3</v>
      </c>
      <c r="F227" s="36" t="s">
        <v>14</v>
      </c>
      <c r="G227" s="37" t="s">
        <v>25</v>
      </c>
      <c r="H227" s="37" t="s">
        <v>90</v>
      </c>
      <c r="I227" s="33"/>
      <c r="J227" s="34"/>
    </row>
    <row r="228" spans="1:10" x14ac:dyDescent="0.25">
      <c r="A228" s="26">
        <f t="shared" si="10"/>
        <v>46169</v>
      </c>
      <c r="B228" s="27">
        <f>+B225+1</f>
        <v>46169</v>
      </c>
      <c r="C228" s="28">
        <f t="shared" si="11"/>
        <v>46169</v>
      </c>
      <c r="D228" s="29">
        <f t="shared" si="12"/>
        <v>22</v>
      </c>
      <c r="E228" s="35">
        <v>1.5</v>
      </c>
      <c r="F228" s="36" t="s">
        <v>14</v>
      </c>
      <c r="G228" s="37" t="s">
        <v>25</v>
      </c>
      <c r="H228" s="37" t="s">
        <v>90</v>
      </c>
      <c r="I228" s="33"/>
      <c r="J228" s="34"/>
    </row>
    <row r="229" spans="1:10" x14ac:dyDescent="0.25">
      <c r="A229" s="26">
        <v>46169</v>
      </c>
      <c r="B229" s="27">
        <v>46169</v>
      </c>
      <c r="C229" s="28">
        <v>46169</v>
      </c>
      <c r="D229" s="29">
        <v>22</v>
      </c>
      <c r="E229" s="35">
        <v>3.5</v>
      </c>
      <c r="F229" s="36" t="s">
        <v>87</v>
      </c>
      <c r="G229" s="37" t="s">
        <v>88</v>
      </c>
      <c r="H229" s="37" t="s">
        <v>89</v>
      </c>
      <c r="I229" s="33"/>
      <c r="J229" s="34"/>
    </row>
    <row r="230" spans="1:10" x14ac:dyDescent="0.25">
      <c r="A230" s="26">
        <v>46169</v>
      </c>
      <c r="B230" s="27">
        <v>46169</v>
      </c>
      <c r="C230" s="28">
        <v>46169</v>
      </c>
      <c r="D230" s="29">
        <v>22</v>
      </c>
      <c r="E230" s="35">
        <v>2</v>
      </c>
      <c r="F230" s="36" t="s">
        <v>14</v>
      </c>
      <c r="G230" s="37" t="s">
        <v>20</v>
      </c>
      <c r="H230" s="37" t="s">
        <v>91</v>
      </c>
      <c r="I230" s="33"/>
      <c r="J230" s="34"/>
    </row>
    <row r="231" spans="1:10" x14ac:dyDescent="0.25">
      <c r="A231" s="26">
        <v>46169</v>
      </c>
      <c r="B231" s="27">
        <v>46169</v>
      </c>
      <c r="C231" s="28">
        <v>46169</v>
      </c>
      <c r="D231" s="29">
        <v>22</v>
      </c>
      <c r="E231" s="35">
        <v>1.5</v>
      </c>
      <c r="F231" s="36" t="s">
        <v>14</v>
      </c>
      <c r="G231" s="37" t="s">
        <v>25</v>
      </c>
      <c r="H231" s="37" t="s">
        <v>73</v>
      </c>
      <c r="I231" s="33"/>
      <c r="J231" s="34"/>
    </row>
    <row r="232" spans="1:10" x14ac:dyDescent="0.25">
      <c r="A232" s="26">
        <f t="shared" si="10"/>
        <v>46170</v>
      </c>
      <c r="B232" s="27">
        <f>+B228+1</f>
        <v>46170</v>
      </c>
      <c r="C232" s="28">
        <f t="shared" si="11"/>
        <v>46170</v>
      </c>
      <c r="D232" s="29">
        <f t="shared" si="12"/>
        <v>22</v>
      </c>
      <c r="E232" s="35">
        <v>1.5</v>
      </c>
      <c r="F232" s="36" t="s">
        <v>14</v>
      </c>
      <c r="G232" s="37" t="s">
        <v>15</v>
      </c>
      <c r="H232" s="37" t="s">
        <v>16</v>
      </c>
      <c r="I232" s="33"/>
      <c r="J232" s="34"/>
    </row>
    <row r="233" spans="1:10" x14ac:dyDescent="0.25">
      <c r="A233" s="26">
        <v>46170</v>
      </c>
      <c r="B233" s="27">
        <v>46170</v>
      </c>
      <c r="C233" s="28">
        <v>46170</v>
      </c>
      <c r="D233" s="29">
        <v>22</v>
      </c>
      <c r="E233" s="35">
        <v>7</v>
      </c>
      <c r="F233" s="36" t="s">
        <v>14</v>
      </c>
      <c r="G233" s="37" t="s">
        <v>25</v>
      </c>
      <c r="H233" s="37" t="s">
        <v>90</v>
      </c>
      <c r="I233" s="33"/>
      <c r="J233" s="34"/>
    </row>
    <row r="234" spans="1:10" x14ac:dyDescent="0.25">
      <c r="A234" s="26">
        <f t="shared" si="10"/>
        <v>46171</v>
      </c>
      <c r="B234" s="27">
        <f>+B232+1</f>
        <v>46171</v>
      </c>
      <c r="C234" s="28">
        <f t="shared" si="11"/>
        <v>46171</v>
      </c>
      <c r="D234" s="29">
        <f t="shared" si="12"/>
        <v>22</v>
      </c>
      <c r="E234" s="35">
        <v>1</v>
      </c>
      <c r="F234" s="36" t="s">
        <v>14</v>
      </c>
      <c r="G234" s="37" t="s">
        <v>20</v>
      </c>
      <c r="H234" s="37" t="s">
        <v>92</v>
      </c>
      <c r="I234" s="33"/>
      <c r="J234" s="34"/>
    </row>
    <row r="235" spans="1:10" x14ac:dyDescent="0.25">
      <c r="A235" s="26">
        <v>46171</v>
      </c>
      <c r="B235" s="27">
        <v>46171</v>
      </c>
      <c r="C235" s="28">
        <v>46171</v>
      </c>
      <c r="D235" s="29">
        <v>22</v>
      </c>
      <c r="E235" s="35">
        <v>5</v>
      </c>
      <c r="F235" s="36" t="s">
        <v>14</v>
      </c>
      <c r="G235" s="37" t="s">
        <v>25</v>
      </c>
      <c r="H235" s="37" t="s">
        <v>90</v>
      </c>
      <c r="I235" s="33"/>
      <c r="J235" s="34">
        <f>SUM(E223:E235)</f>
        <v>40</v>
      </c>
    </row>
    <row r="236" spans="1:10" x14ac:dyDescent="0.25">
      <c r="A236" s="26">
        <f t="shared" si="10"/>
        <v>46172</v>
      </c>
      <c r="B236" s="27">
        <f>+B234+1</f>
        <v>46172</v>
      </c>
      <c r="C236" s="28">
        <f t="shared" si="11"/>
        <v>46172</v>
      </c>
      <c r="D236" s="29">
        <f t="shared" si="12"/>
        <v>22</v>
      </c>
      <c r="E236" s="35"/>
      <c r="F236" s="36"/>
      <c r="G236" s="37"/>
      <c r="H236" s="37"/>
      <c r="I236" s="33"/>
      <c r="J236" s="34"/>
    </row>
    <row r="237" spans="1:10" x14ac:dyDescent="0.25">
      <c r="A237" s="26">
        <f t="shared" si="10"/>
        <v>46173</v>
      </c>
      <c r="B237" s="27">
        <f t="shared" si="13"/>
        <v>46173</v>
      </c>
      <c r="C237" s="28">
        <f t="shared" si="11"/>
        <v>46173</v>
      </c>
      <c r="D237" s="29">
        <f t="shared" si="12"/>
        <v>23</v>
      </c>
      <c r="E237" s="35"/>
      <c r="F237" s="36"/>
      <c r="G237" s="37"/>
      <c r="H237" s="37"/>
      <c r="I237" s="33"/>
      <c r="J237" s="34"/>
    </row>
    <row r="238" spans="1:10" x14ac:dyDescent="0.25">
      <c r="A238" s="26">
        <f t="shared" si="10"/>
        <v>46174</v>
      </c>
      <c r="B238" s="27">
        <f t="shared" si="13"/>
        <v>46174</v>
      </c>
      <c r="C238" s="28">
        <f t="shared" si="11"/>
        <v>46174</v>
      </c>
      <c r="D238" s="29">
        <f t="shared" si="12"/>
        <v>23</v>
      </c>
      <c r="E238" s="35">
        <v>3</v>
      </c>
      <c r="F238" s="36" t="s">
        <v>87</v>
      </c>
      <c r="G238" s="37" t="s">
        <v>88</v>
      </c>
      <c r="H238" s="37" t="s">
        <v>89</v>
      </c>
      <c r="I238" s="33"/>
      <c r="J238" s="34"/>
    </row>
    <row r="239" spans="1:10" x14ac:dyDescent="0.25">
      <c r="A239" s="26">
        <v>46174</v>
      </c>
      <c r="B239" s="27">
        <v>46174</v>
      </c>
      <c r="C239" s="28">
        <v>46174</v>
      </c>
      <c r="D239" s="29">
        <v>23</v>
      </c>
      <c r="E239" s="35">
        <v>2.5</v>
      </c>
      <c r="F239" s="36" t="s">
        <v>14</v>
      </c>
      <c r="G239" s="37" t="s">
        <v>25</v>
      </c>
      <c r="H239" s="37" t="s">
        <v>93</v>
      </c>
      <c r="I239" s="33"/>
      <c r="J239" s="34"/>
    </row>
    <row r="240" spans="1:10" x14ac:dyDescent="0.25">
      <c r="A240" s="26">
        <v>46174</v>
      </c>
      <c r="B240" s="27">
        <v>46174</v>
      </c>
      <c r="C240" s="28">
        <v>46174</v>
      </c>
      <c r="D240" s="29">
        <v>23</v>
      </c>
      <c r="E240" s="35">
        <v>3</v>
      </c>
      <c r="F240" s="36" t="s">
        <v>14</v>
      </c>
      <c r="G240" s="37" t="s">
        <v>25</v>
      </c>
      <c r="H240" s="37" t="s">
        <v>90</v>
      </c>
      <c r="I240" s="33"/>
      <c r="J240" s="34"/>
    </row>
    <row r="241" spans="1:10" x14ac:dyDescent="0.25">
      <c r="A241" s="26">
        <f t="shared" si="10"/>
        <v>46175</v>
      </c>
      <c r="B241" s="27">
        <f>+B238+1</f>
        <v>46175</v>
      </c>
      <c r="C241" s="28">
        <f t="shared" si="11"/>
        <v>46175</v>
      </c>
      <c r="D241" s="29">
        <f t="shared" si="12"/>
        <v>23</v>
      </c>
      <c r="E241" s="35">
        <v>1.5</v>
      </c>
      <c r="F241" s="36" t="s">
        <v>14</v>
      </c>
      <c r="G241" s="37" t="s">
        <v>15</v>
      </c>
      <c r="H241" s="37" t="s">
        <v>16</v>
      </c>
      <c r="I241" s="33"/>
      <c r="J241" s="34"/>
    </row>
    <row r="242" spans="1:10" x14ac:dyDescent="0.25">
      <c r="A242" s="26">
        <v>46175</v>
      </c>
      <c r="B242" s="27">
        <v>46175</v>
      </c>
      <c r="C242" s="28">
        <v>46175</v>
      </c>
      <c r="D242" s="29">
        <v>23</v>
      </c>
      <c r="E242" s="35">
        <v>2</v>
      </c>
      <c r="F242" s="36" t="s">
        <v>87</v>
      </c>
      <c r="G242" s="37" t="s">
        <v>88</v>
      </c>
      <c r="H242" s="37" t="s">
        <v>89</v>
      </c>
      <c r="I242" s="33"/>
      <c r="J242" s="34"/>
    </row>
    <row r="243" spans="1:10" x14ac:dyDescent="0.25">
      <c r="A243" s="26">
        <v>46175</v>
      </c>
      <c r="B243" s="27">
        <v>46175</v>
      </c>
      <c r="C243" s="28">
        <v>46175</v>
      </c>
      <c r="D243" s="29">
        <v>23</v>
      </c>
      <c r="E243" s="35">
        <v>1</v>
      </c>
      <c r="F243" s="36" t="s">
        <v>14</v>
      </c>
      <c r="G243" s="37" t="s">
        <v>25</v>
      </c>
      <c r="H243" s="37" t="s">
        <v>94</v>
      </c>
      <c r="I243" s="33"/>
      <c r="J243" s="34"/>
    </row>
    <row r="244" spans="1:10" x14ac:dyDescent="0.25">
      <c r="A244" s="26">
        <v>46175</v>
      </c>
      <c r="B244" s="27">
        <v>46175</v>
      </c>
      <c r="C244" s="28">
        <v>46175</v>
      </c>
      <c r="D244" s="29">
        <v>23</v>
      </c>
      <c r="E244" s="35">
        <v>2</v>
      </c>
      <c r="F244" s="36" t="s">
        <v>14</v>
      </c>
      <c r="G244" s="37" t="s">
        <v>25</v>
      </c>
      <c r="H244" s="37" t="s">
        <v>95</v>
      </c>
      <c r="I244" s="33"/>
      <c r="J244" s="34"/>
    </row>
    <row r="245" spans="1:10" x14ac:dyDescent="0.25">
      <c r="A245" s="26">
        <v>46175</v>
      </c>
      <c r="B245" s="27">
        <v>46175</v>
      </c>
      <c r="C245" s="28">
        <v>46175</v>
      </c>
      <c r="D245" s="29">
        <v>23</v>
      </c>
      <c r="E245" s="35">
        <v>2</v>
      </c>
      <c r="F245" s="36" t="s">
        <v>14</v>
      </c>
      <c r="G245" s="37" t="s">
        <v>25</v>
      </c>
      <c r="H245" s="37" t="s">
        <v>90</v>
      </c>
      <c r="I245" s="33"/>
      <c r="J245" s="34"/>
    </row>
    <row r="246" spans="1:10" x14ac:dyDescent="0.25">
      <c r="A246" s="26">
        <f t="shared" si="10"/>
        <v>46176</v>
      </c>
      <c r="B246" s="27">
        <f>+B241+1</f>
        <v>46176</v>
      </c>
      <c r="C246" s="28">
        <f t="shared" si="11"/>
        <v>46176</v>
      </c>
      <c r="D246" s="29">
        <f t="shared" si="12"/>
        <v>23</v>
      </c>
      <c r="E246" s="35">
        <v>4</v>
      </c>
      <c r="F246" s="36" t="s">
        <v>10</v>
      </c>
      <c r="G246" s="37" t="s">
        <v>31</v>
      </c>
      <c r="H246" s="37" t="s">
        <v>96</v>
      </c>
      <c r="I246" s="33"/>
      <c r="J246" s="34"/>
    </row>
    <row r="247" spans="1:10" x14ac:dyDescent="0.25">
      <c r="A247" s="26">
        <v>46176</v>
      </c>
      <c r="B247" s="27">
        <v>46176</v>
      </c>
      <c r="C247" s="28">
        <v>46176</v>
      </c>
      <c r="D247" s="29">
        <v>23</v>
      </c>
      <c r="E247" s="35">
        <v>4.5</v>
      </c>
      <c r="F247" s="36" t="s">
        <v>14</v>
      </c>
      <c r="G247" s="37" t="s">
        <v>25</v>
      </c>
      <c r="H247" s="37" t="s">
        <v>90</v>
      </c>
      <c r="I247" s="33"/>
      <c r="J247" s="34"/>
    </row>
    <row r="248" spans="1:10" x14ac:dyDescent="0.25">
      <c r="A248" s="26">
        <f t="shared" si="10"/>
        <v>46177</v>
      </c>
      <c r="B248" s="27">
        <f>+B246+1</f>
        <v>46177</v>
      </c>
      <c r="C248" s="28">
        <f t="shared" si="11"/>
        <v>46177</v>
      </c>
      <c r="D248" s="29">
        <f t="shared" si="12"/>
        <v>23</v>
      </c>
      <c r="E248" s="35">
        <v>1.5</v>
      </c>
      <c r="F248" s="36" t="s">
        <v>14</v>
      </c>
      <c r="G248" s="37" t="s">
        <v>15</v>
      </c>
      <c r="H248" s="37" t="s">
        <v>16</v>
      </c>
      <c r="I248" s="33"/>
      <c r="J248" s="34"/>
    </row>
    <row r="249" spans="1:10" x14ac:dyDescent="0.25">
      <c r="A249" s="26">
        <v>46177</v>
      </c>
      <c r="B249" s="27">
        <v>46177</v>
      </c>
      <c r="C249" s="28">
        <v>46177</v>
      </c>
      <c r="D249" s="29">
        <v>23</v>
      </c>
      <c r="E249" s="35">
        <v>1.5</v>
      </c>
      <c r="F249" s="36" t="s">
        <v>14</v>
      </c>
      <c r="G249" s="37" t="s">
        <v>20</v>
      </c>
      <c r="H249" s="37" t="s">
        <v>97</v>
      </c>
      <c r="I249" s="33"/>
      <c r="J249" s="34"/>
    </row>
    <row r="250" spans="1:10" x14ac:dyDescent="0.25">
      <c r="A250" s="26">
        <v>46177</v>
      </c>
      <c r="B250" s="27">
        <v>46177</v>
      </c>
      <c r="C250" s="28">
        <v>46177</v>
      </c>
      <c r="D250" s="29">
        <v>23</v>
      </c>
      <c r="E250" s="35">
        <v>1</v>
      </c>
      <c r="F250" s="36" t="s">
        <v>10</v>
      </c>
      <c r="G250" s="37" t="s">
        <v>31</v>
      </c>
      <c r="H250" s="37" t="s">
        <v>98</v>
      </c>
      <c r="I250" s="33"/>
      <c r="J250" s="34"/>
    </row>
    <row r="251" spans="1:10" x14ac:dyDescent="0.25">
      <c r="A251" s="26">
        <v>46177</v>
      </c>
      <c r="B251" s="27">
        <v>46177</v>
      </c>
      <c r="C251" s="28">
        <v>46177</v>
      </c>
      <c r="D251" s="29">
        <v>23</v>
      </c>
      <c r="E251" s="35">
        <v>4.5</v>
      </c>
      <c r="F251" s="36" t="s">
        <v>14</v>
      </c>
      <c r="G251" s="37" t="s">
        <v>25</v>
      </c>
      <c r="H251" s="37" t="s">
        <v>90</v>
      </c>
      <c r="I251" s="33"/>
      <c r="J251" s="34"/>
    </row>
    <row r="252" spans="1:10" x14ac:dyDescent="0.25">
      <c r="A252" s="26">
        <f t="shared" si="10"/>
        <v>46178</v>
      </c>
      <c r="B252" s="27">
        <f>+B248+1</f>
        <v>46178</v>
      </c>
      <c r="C252" s="28">
        <f t="shared" si="11"/>
        <v>46178</v>
      </c>
      <c r="D252" s="29">
        <f t="shared" si="12"/>
        <v>23</v>
      </c>
      <c r="E252" s="35">
        <v>6</v>
      </c>
      <c r="F252" s="36" t="s">
        <v>7</v>
      </c>
      <c r="G252" s="37" t="s">
        <v>8</v>
      </c>
      <c r="H252" s="37" t="s">
        <v>9</v>
      </c>
      <c r="I252" s="33"/>
      <c r="J252" s="34">
        <f>SUM(E238:E252)</f>
        <v>40</v>
      </c>
    </row>
    <row r="253" spans="1:10" x14ac:dyDescent="0.25">
      <c r="A253" s="26">
        <f t="shared" si="10"/>
        <v>46179</v>
      </c>
      <c r="B253" s="27">
        <f t="shared" si="13"/>
        <v>46179</v>
      </c>
      <c r="C253" s="28">
        <f t="shared" si="11"/>
        <v>46179</v>
      </c>
      <c r="D253" s="29">
        <f t="shared" si="12"/>
        <v>23</v>
      </c>
      <c r="E253" s="35"/>
      <c r="F253" s="36"/>
      <c r="G253" s="37"/>
      <c r="H253" s="37"/>
      <c r="I253" s="33"/>
      <c r="J253" s="34"/>
    </row>
    <row r="254" spans="1:10" x14ac:dyDescent="0.25">
      <c r="A254" s="26">
        <f t="shared" si="10"/>
        <v>46180</v>
      </c>
      <c r="B254" s="27">
        <f t="shared" si="13"/>
        <v>46180</v>
      </c>
      <c r="C254" s="28">
        <f t="shared" si="11"/>
        <v>46180</v>
      </c>
      <c r="D254" s="29">
        <f t="shared" si="12"/>
        <v>24</v>
      </c>
      <c r="E254" s="35"/>
      <c r="F254" s="36"/>
      <c r="G254" s="37"/>
      <c r="H254" s="37"/>
      <c r="I254" s="33"/>
      <c r="J254" s="34"/>
    </row>
    <row r="255" spans="1:10" x14ac:dyDescent="0.25">
      <c r="A255" s="26">
        <f t="shared" si="10"/>
        <v>46181</v>
      </c>
      <c r="B255" s="27">
        <f t="shared" si="13"/>
        <v>46181</v>
      </c>
      <c r="C255" s="28">
        <f t="shared" si="11"/>
        <v>46181</v>
      </c>
      <c r="D255" s="29">
        <f t="shared" si="12"/>
        <v>24</v>
      </c>
      <c r="E255" s="35">
        <v>3</v>
      </c>
      <c r="F255" s="36" t="s">
        <v>14</v>
      </c>
      <c r="G255" s="37" t="s">
        <v>25</v>
      </c>
      <c r="H255" s="37" t="s">
        <v>83</v>
      </c>
      <c r="I255" s="33"/>
      <c r="J255" s="34"/>
    </row>
    <row r="256" spans="1:10" x14ac:dyDescent="0.25">
      <c r="A256" s="26">
        <v>46181</v>
      </c>
      <c r="B256" s="27">
        <v>46181</v>
      </c>
      <c r="C256" s="28">
        <v>46181</v>
      </c>
      <c r="D256" s="29">
        <v>24</v>
      </c>
      <c r="E256" s="35">
        <v>1</v>
      </c>
      <c r="F256" s="36" t="s">
        <v>87</v>
      </c>
      <c r="G256" s="37" t="s">
        <v>88</v>
      </c>
      <c r="H256" s="37" t="s">
        <v>99</v>
      </c>
      <c r="I256" s="33"/>
      <c r="J256" s="34"/>
    </row>
    <row r="257" spans="1:10" x14ac:dyDescent="0.25">
      <c r="A257" s="26">
        <v>46181</v>
      </c>
      <c r="B257" s="27">
        <v>46181</v>
      </c>
      <c r="C257" s="28">
        <v>46181</v>
      </c>
      <c r="D257" s="29">
        <v>24</v>
      </c>
      <c r="E257" s="35">
        <v>4.5</v>
      </c>
      <c r="F257" s="36" t="s">
        <v>14</v>
      </c>
      <c r="G257" s="37" t="s">
        <v>25</v>
      </c>
      <c r="H257" s="37" t="s">
        <v>90</v>
      </c>
      <c r="I257" s="33"/>
      <c r="J257" s="34"/>
    </row>
    <row r="258" spans="1:10" x14ac:dyDescent="0.25">
      <c r="A258" s="26">
        <f t="shared" si="10"/>
        <v>46182</v>
      </c>
      <c r="B258" s="27">
        <f>+B255+1</f>
        <v>46182</v>
      </c>
      <c r="C258" s="28">
        <f t="shared" si="11"/>
        <v>46182</v>
      </c>
      <c r="D258" s="29">
        <f t="shared" si="12"/>
        <v>24</v>
      </c>
      <c r="E258" s="35">
        <v>1.5</v>
      </c>
      <c r="F258" s="36" t="s">
        <v>14</v>
      </c>
      <c r="G258" s="37" t="s">
        <v>15</v>
      </c>
      <c r="H258" s="37" t="s">
        <v>16</v>
      </c>
      <c r="I258" s="33"/>
      <c r="J258" s="34"/>
    </row>
    <row r="259" spans="1:10" x14ac:dyDescent="0.25">
      <c r="A259" s="26">
        <v>46182</v>
      </c>
      <c r="B259" s="27">
        <v>46182</v>
      </c>
      <c r="C259" s="28">
        <v>46182</v>
      </c>
      <c r="D259" s="29">
        <v>24</v>
      </c>
      <c r="E259" s="35">
        <v>1</v>
      </c>
      <c r="F259" s="36" t="s">
        <v>100</v>
      </c>
      <c r="G259" s="37" t="s">
        <v>88</v>
      </c>
      <c r="H259" s="37" t="s">
        <v>101</v>
      </c>
      <c r="I259" s="33"/>
      <c r="J259" s="34"/>
    </row>
    <row r="260" spans="1:10" x14ac:dyDescent="0.25">
      <c r="A260" s="26">
        <v>46182</v>
      </c>
      <c r="B260" s="27">
        <v>46182</v>
      </c>
      <c r="C260" s="28">
        <v>46182</v>
      </c>
      <c r="D260" s="29">
        <v>24</v>
      </c>
      <c r="E260" s="35">
        <v>3</v>
      </c>
      <c r="F260" s="36" t="s">
        <v>14</v>
      </c>
      <c r="G260" s="37" t="s">
        <v>25</v>
      </c>
      <c r="H260" s="37" t="s">
        <v>83</v>
      </c>
      <c r="I260" s="33"/>
      <c r="J260" s="34"/>
    </row>
    <row r="261" spans="1:10" x14ac:dyDescent="0.25">
      <c r="A261" s="26">
        <v>46182</v>
      </c>
      <c r="B261" s="27">
        <v>46182</v>
      </c>
      <c r="C261" s="28">
        <v>46182</v>
      </c>
      <c r="D261" s="29">
        <v>24</v>
      </c>
      <c r="E261" s="35">
        <v>3</v>
      </c>
      <c r="F261" s="36" t="s">
        <v>14</v>
      </c>
      <c r="G261" s="37" t="s">
        <v>25</v>
      </c>
      <c r="H261" s="37" t="s">
        <v>90</v>
      </c>
      <c r="I261" s="33"/>
      <c r="J261" s="34"/>
    </row>
    <row r="262" spans="1:10" x14ac:dyDescent="0.25">
      <c r="A262" s="26">
        <f t="shared" si="10"/>
        <v>46183</v>
      </c>
      <c r="B262" s="27">
        <f>+B258+1</f>
        <v>46183</v>
      </c>
      <c r="C262" s="28">
        <f t="shared" si="11"/>
        <v>46183</v>
      </c>
      <c r="D262" s="29">
        <f t="shared" si="12"/>
        <v>24</v>
      </c>
      <c r="E262" s="35">
        <v>2</v>
      </c>
      <c r="F262" s="36" t="s">
        <v>14</v>
      </c>
      <c r="G262" s="37" t="s">
        <v>25</v>
      </c>
      <c r="H262" s="37" t="s">
        <v>83</v>
      </c>
      <c r="I262" s="33"/>
      <c r="J262" s="34"/>
    </row>
    <row r="263" spans="1:10" x14ac:dyDescent="0.25">
      <c r="A263" s="26">
        <v>46183</v>
      </c>
      <c r="B263" s="27">
        <v>46183</v>
      </c>
      <c r="C263" s="28">
        <v>46183</v>
      </c>
      <c r="D263" s="29">
        <v>24</v>
      </c>
      <c r="E263" s="35">
        <v>6.5</v>
      </c>
      <c r="F263" s="36" t="s">
        <v>14</v>
      </c>
      <c r="G263" s="37" t="s">
        <v>25</v>
      </c>
      <c r="H263" s="37" t="s">
        <v>90</v>
      </c>
      <c r="I263" s="33"/>
      <c r="J263" s="34"/>
    </row>
    <row r="264" spans="1:10" x14ac:dyDescent="0.25">
      <c r="A264" s="26">
        <f t="shared" si="10"/>
        <v>46184</v>
      </c>
      <c r="B264" s="27">
        <f>+B262+1</f>
        <v>46184</v>
      </c>
      <c r="C264" s="28">
        <f t="shared" si="11"/>
        <v>46184</v>
      </c>
      <c r="D264" s="29">
        <f t="shared" si="12"/>
        <v>24</v>
      </c>
      <c r="E264" s="35">
        <v>1.5</v>
      </c>
      <c r="F264" s="36" t="s">
        <v>14</v>
      </c>
      <c r="G264" s="37" t="s">
        <v>15</v>
      </c>
      <c r="H264" s="37" t="s">
        <v>16</v>
      </c>
      <c r="I264" s="33"/>
      <c r="J264" s="34"/>
    </row>
    <row r="265" spans="1:10" x14ac:dyDescent="0.25">
      <c r="A265" s="26">
        <v>46184</v>
      </c>
      <c r="B265" s="27">
        <v>46184</v>
      </c>
      <c r="C265" s="28">
        <v>46184</v>
      </c>
      <c r="D265" s="29">
        <v>24</v>
      </c>
      <c r="E265" s="35">
        <v>3</v>
      </c>
      <c r="F265" s="36" t="s">
        <v>100</v>
      </c>
      <c r="G265" s="37" t="s">
        <v>88</v>
      </c>
      <c r="H265" s="37" t="s">
        <v>102</v>
      </c>
      <c r="I265" s="33"/>
      <c r="J265" s="34"/>
    </row>
    <row r="266" spans="1:10" x14ac:dyDescent="0.25">
      <c r="A266" s="26">
        <v>46184</v>
      </c>
      <c r="B266" s="27">
        <v>46184</v>
      </c>
      <c r="C266" s="28">
        <v>46184</v>
      </c>
      <c r="D266" s="29">
        <v>24</v>
      </c>
      <c r="E266" s="35">
        <v>4</v>
      </c>
      <c r="F266" s="36" t="s">
        <v>14</v>
      </c>
      <c r="G266" s="37" t="s">
        <v>25</v>
      </c>
      <c r="H266" s="37" t="s">
        <v>90</v>
      </c>
      <c r="I266" s="33"/>
      <c r="J266" s="34"/>
    </row>
    <row r="267" spans="1:10" x14ac:dyDescent="0.25">
      <c r="A267" s="26">
        <f t="shared" si="10"/>
        <v>46185</v>
      </c>
      <c r="B267" s="27">
        <f>+B264+1</f>
        <v>46185</v>
      </c>
      <c r="C267" s="28">
        <f t="shared" si="11"/>
        <v>46185</v>
      </c>
      <c r="D267" s="29">
        <f t="shared" si="12"/>
        <v>24</v>
      </c>
      <c r="E267" s="35">
        <v>6</v>
      </c>
      <c r="F267" s="36" t="s">
        <v>14</v>
      </c>
      <c r="G267" s="37" t="s">
        <v>25</v>
      </c>
      <c r="H267" s="37" t="s">
        <v>90</v>
      </c>
      <c r="I267" s="33"/>
      <c r="J267" s="34">
        <f>SUM(E255:E267)</f>
        <v>40</v>
      </c>
    </row>
    <row r="268" spans="1:10" x14ac:dyDescent="0.25">
      <c r="A268" s="26">
        <f t="shared" si="10"/>
        <v>46186</v>
      </c>
      <c r="B268" s="27">
        <f t="shared" si="13"/>
        <v>46186</v>
      </c>
      <c r="C268" s="28">
        <f t="shared" si="11"/>
        <v>46186</v>
      </c>
      <c r="D268" s="29">
        <f t="shared" si="12"/>
        <v>24</v>
      </c>
      <c r="E268" s="35"/>
      <c r="F268" s="36"/>
      <c r="G268" s="37"/>
      <c r="H268" s="37"/>
      <c r="I268" s="33"/>
      <c r="J268" s="34"/>
    </row>
    <row r="269" spans="1:10" x14ac:dyDescent="0.25">
      <c r="A269" s="26">
        <f t="shared" si="10"/>
        <v>46187</v>
      </c>
      <c r="B269" s="27">
        <f t="shared" si="13"/>
        <v>46187</v>
      </c>
      <c r="C269" s="28">
        <f t="shared" si="11"/>
        <v>46187</v>
      </c>
      <c r="D269" s="29">
        <f t="shared" si="12"/>
        <v>25</v>
      </c>
      <c r="E269" s="35"/>
      <c r="F269" s="36"/>
      <c r="G269" s="37"/>
      <c r="H269" s="37"/>
      <c r="I269" s="33"/>
      <c r="J269" s="34"/>
    </row>
    <row r="270" spans="1:10" x14ac:dyDescent="0.25">
      <c r="A270" s="26">
        <f t="shared" si="10"/>
        <v>46188</v>
      </c>
      <c r="B270" s="27">
        <f t="shared" si="13"/>
        <v>46188</v>
      </c>
      <c r="C270" s="28">
        <f t="shared" si="11"/>
        <v>46188</v>
      </c>
      <c r="D270" s="29">
        <f t="shared" si="12"/>
        <v>25</v>
      </c>
      <c r="E270" s="35">
        <v>8.5</v>
      </c>
      <c r="F270" s="36" t="s">
        <v>14</v>
      </c>
      <c r="G270" s="37" t="s">
        <v>25</v>
      </c>
      <c r="H270" s="37" t="s">
        <v>90</v>
      </c>
      <c r="I270" s="33"/>
      <c r="J270" s="34"/>
    </row>
    <row r="271" spans="1:10" x14ac:dyDescent="0.25">
      <c r="A271" s="26">
        <f t="shared" si="10"/>
        <v>46189</v>
      </c>
      <c r="B271" s="27">
        <f t="shared" ref="B271:B327" si="14">+B270+1</f>
        <v>46189</v>
      </c>
      <c r="C271" s="28">
        <f t="shared" si="11"/>
        <v>46189</v>
      </c>
      <c r="D271" s="29">
        <f t="shared" si="12"/>
        <v>25</v>
      </c>
      <c r="E271" s="35">
        <v>1.5</v>
      </c>
      <c r="F271" s="36" t="s">
        <v>14</v>
      </c>
      <c r="G271" s="37" t="s">
        <v>15</v>
      </c>
      <c r="H271" s="37" t="s">
        <v>16</v>
      </c>
      <c r="I271" s="33"/>
      <c r="J271" s="34"/>
    </row>
    <row r="272" spans="1:10" x14ac:dyDescent="0.25">
      <c r="A272" s="26">
        <v>46189</v>
      </c>
      <c r="B272" s="27">
        <v>46189</v>
      </c>
      <c r="C272" s="28">
        <v>46189</v>
      </c>
      <c r="D272" s="29">
        <v>25</v>
      </c>
      <c r="E272" s="35">
        <v>7</v>
      </c>
      <c r="F272" s="36" t="s">
        <v>100</v>
      </c>
      <c r="G272" s="37" t="s">
        <v>88</v>
      </c>
      <c r="H272" s="37" t="s">
        <v>102</v>
      </c>
      <c r="I272" s="33"/>
      <c r="J272" s="34"/>
    </row>
    <row r="273" spans="1:10" x14ac:dyDescent="0.25">
      <c r="A273" s="26">
        <f t="shared" si="10"/>
        <v>46190</v>
      </c>
      <c r="B273" s="27">
        <f>+B271+1</f>
        <v>46190</v>
      </c>
      <c r="C273" s="28">
        <f t="shared" si="11"/>
        <v>46190</v>
      </c>
      <c r="D273" s="29">
        <f t="shared" si="12"/>
        <v>25</v>
      </c>
      <c r="E273" s="35">
        <v>8.5</v>
      </c>
      <c r="F273" s="36" t="s">
        <v>14</v>
      </c>
      <c r="G273" s="37" t="s">
        <v>25</v>
      </c>
      <c r="H273" s="37" t="s">
        <v>90</v>
      </c>
      <c r="I273" s="33"/>
      <c r="J273" s="34"/>
    </row>
    <row r="274" spans="1:10" x14ac:dyDescent="0.25">
      <c r="A274" s="26">
        <f t="shared" si="10"/>
        <v>46191</v>
      </c>
      <c r="B274" s="27">
        <f>+B273+1</f>
        <v>46191</v>
      </c>
      <c r="C274" s="28">
        <f t="shared" si="11"/>
        <v>46191</v>
      </c>
      <c r="D274" s="29">
        <f t="shared" si="12"/>
        <v>25</v>
      </c>
      <c r="E274" s="35">
        <v>2</v>
      </c>
      <c r="F274" s="36" t="s">
        <v>100</v>
      </c>
      <c r="G274" s="37" t="s">
        <v>88</v>
      </c>
      <c r="H274" s="37" t="s">
        <v>103</v>
      </c>
      <c r="I274" s="33"/>
      <c r="J274" s="34"/>
    </row>
    <row r="275" spans="1:10" x14ac:dyDescent="0.25">
      <c r="A275" s="26">
        <v>46191</v>
      </c>
      <c r="B275" s="27">
        <v>46191</v>
      </c>
      <c r="C275" s="28">
        <v>46191</v>
      </c>
      <c r="D275" s="29">
        <v>25</v>
      </c>
      <c r="E275" s="35">
        <v>6.5</v>
      </c>
      <c r="F275" s="36" t="s">
        <v>14</v>
      </c>
      <c r="G275" s="37" t="s">
        <v>25</v>
      </c>
      <c r="H275" s="37" t="s">
        <v>90</v>
      </c>
      <c r="I275" s="33"/>
      <c r="J275" s="34"/>
    </row>
    <row r="276" spans="1:10" x14ac:dyDescent="0.25">
      <c r="A276" s="26">
        <f t="shared" si="10"/>
        <v>46192</v>
      </c>
      <c r="B276" s="27">
        <f>+B274+1</f>
        <v>46192</v>
      </c>
      <c r="C276" s="28">
        <f t="shared" si="11"/>
        <v>46192</v>
      </c>
      <c r="D276" s="29">
        <f t="shared" si="12"/>
        <v>25</v>
      </c>
      <c r="E276" s="35">
        <v>6</v>
      </c>
      <c r="F276" s="36" t="s">
        <v>14</v>
      </c>
      <c r="G276" s="37" t="s">
        <v>25</v>
      </c>
      <c r="H276" s="37" t="s">
        <v>90</v>
      </c>
      <c r="I276" s="33"/>
      <c r="J276" s="34">
        <f>SUM(E270:E276)</f>
        <v>40</v>
      </c>
    </row>
    <row r="277" spans="1:10" x14ac:dyDescent="0.25">
      <c r="A277" s="26">
        <f t="shared" si="10"/>
        <v>46193</v>
      </c>
      <c r="B277" s="27">
        <f t="shared" si="14"/>
        <v>46193</v>
      </c>
      <c r="C277" s="28">
        <f t="shared" si="11"/>
        <v>46193</v>
      </c>
      <c r="D277" s="29">
        <f t="shared" si="12"/>
        <v>25</v>
      </c>
      <c r="E277" s="35"/>
      <c r="F277" s="36"/>
      <c r="G277" s="37"/>
      <c r="H277" s="37"/>
      <c r="I277" s="33"/>
      <c r="J277" s="34"/>
    </row>
    <row r="278" spans="1:10" x14ac:dyDescent="0.25">
      <c r="A278" s="26">
        <f t="shared" ref="A278:A373" si="15">B278</f>
        <v>46194</v>
      </c>
      <c r="B278" s="27">
        <f t="shared" si="14"/>
        <v>46194</v>
      </c>
      <c r="C278" s="28">
        <f t="shared" ref="C278:C373" si="16">B278</f>
        <v>46194</v>
      </c>
      <c r="D278" s="29">
        <f t="shared" ref="D278:D373" si="17">WEEKNUM(A278)</f>
        <v>26</v>
      </c>
      <c r="E278" s="35"/>
      <c r="F278" s="36"/>
      <c r="G278" s="37"/>
      <c r="H278" s="37"/>
      <c r="I278" s="33"/>
      <c r="J278" s="34"/>
    </row>
    <row r="279" spans="1:10" x14ac:dyDescent="0.25">
      <c r="A279" s="26">
        <f t="shared" si="15"/>
        <v>46195</v>
      </c>
      <c r="B279" s="27">
        <f t="shared" si="14"/>
        <v>46195</v>
      </c>
      <c r="C279" s="28">
        <f t="shared" si="16"/>
        <v>46195</v>
      </c>
      <c r="D279" s="29">
        <f t="shared" si="17"/>
        <v>26</v>
      </c>
      <c r="E279" s="35">
        <v>1</v>
      </c>
      <c r="F279" s="36" t="s">
        <v>14</v>
      </c>
      <c r="G279" s="37" t="s">
        <v>15</v>
      </c>
      <c r="H279" s="37" t="s">
        <v>104</v>
      </c>
      <c r="I279" s="33"/>
      <c r="J279" s="34"/>
    </row>
    <row r="280" spans="1:10" x14ac:dyDescent="0.25">
      <c r="A280" s="26">
        <v>46195</v>
      </c>
      <c r="B280" s="27">
        <v>46195</v>
      </c>
      <c r="C280" s="28">
        <v>46195</v>
      </c>
      <c r="D280" s="29">
        <v>26</v>
      </c>
      <c r="E280" s="35">
        <v>6</v>
      </c>
      <c r="F280" s="36" t="s">
        <v>14</v>
      </c>
      <c r="G280" s="37" t="s">
        <v>25</v>
      </c>
      <c r="H280" s="37" t="s">
        <v>90</v>
      </c>
      <c r="I280" s="33"/>
      <c r="J280" s="34"/>
    </row>
    <row r="281" spans="1:10" x14ac:dyDescent="0.25">
      <c r="A281" s="26">
        <f t="shared" si="15"/>
        <v>46196</v>
      </c>
      <c r="B281" s="27">
        <f>+B279+1</f>
        <v>46196</v>
      </c>
      <c r="C281" s="28">
        <f t="shared" si="16"/>
        <v>46196</v>
      </c>
      <c r="D281" s="29">
        <f t="shared" si="17"/>
        <v>26</v>
      </c>
      <c r="E281" s="35">
        <v>7</v>
      </c>
      <c r="F281" s="36" t="s">
        <v>14</v>
      </c>
      <c r="G281" s="37" t="s">
        <v>25</v>
      </c>
      <c r="H281" s="37" t="s">
        <v>90</v>
      </c>
      <c r="I281" s="33"/>
      <c r="J281" s="34"/>
    </row>
    <row r="282" spans="1:10" x14ac:dyDescent="0.25">
      <c r="A282" s="26">
        <f t="shared" si="15"/>
        <v>46197</v>
      </c>
      <c r="B282" s="27">
        <f>+B281+1</f>
        <v>46197</v>
      </c>
      <c r="C282" s="28">
        <f t="shared" si="16"/>
        <v>46197</v>
      </c>
      <c r="D282" s="29">
        <f t="shared" si="17"/>
        <v>26</v>
      </c>
      <c r="E282" s="35">
        <v>2</v>
      </c>
      <c r="F282" s="36" t="s">
        <v>100</v>
      </c>
      <c r="G282" s="37" t="s">
        <v>88</v>
      </c>
      <c r="H282" s="37" t="s">
        <v>102</v>
      </c>
      <c r="I282" s="33"/>
      <c r="J282" s="34"/>
    </row>
    <row r="283" spans="1:10" x14ac:dyDescent="0.25">
      <c r="A283" s="26">
        <v>46197</v>
      </c>
      <c r="B283" s="27">
        <v>46197</v>
      </c>
      <c r="C283" s="28">
        <v>46197</v>
      </c>
      <c r="D283" s="29">
        <v>26</v>
      </c>
      <c r="E283" s="35">
        <v>5</v>
      </c>
      <c r="F283" s="36" t="s">
        <v>100</v>
      </c>
      <c r="G283" s="37" t="s">
        <v>105</v>
      </c>
      <c r="H283" s="37" t="s">
        <v>106</v>
      </c>
      <c r="I283" s="33"/>
      <c r="J283" s="34"/>
    </row>
    <row r="284" spans="1:10" x14ac:dyDescent="0.25">
      <c r="A284" s="26">
        <f t="shared" si="15"/>
        <v>46198</v>
      </c>
      <c r="B284" s="27">
        <f>+B282+1</f>
        <v>46198</v>
      </c>
      <c r="C284" s="28">
        <f t="shared" si="16"/>
        <v>46198</v>
      </c>
      <c r="D284" s="29">
        <f t="shared" si="17"/>
        <v>26</v>
      </c>
      <c r="E284" s="35">
        <v>2</v>
      </c>
      <c r="F284" s="36" t="s">
        <v>100</v>
      </c>
      <c r="G284" s="37" t="s">
        <v>107</v>
      </c>
      <c r="H284" s="37" t="s">
        <v>108</v>
      </c>
      <c r="I284" s="33"/>
      <c r="J284" s="34"/>
    </row>
    <row r="285" spans="1:10" x14ac:dyDescent="0.25">
      <c r="A285" s="26">
        <v>46198</v>
      </c>
      <c r="B285" s="27">
        <v>46198</v>
      </c>
      <c r="C285" s="28">
        <v>46198</v>
      </c>
      <c r="D285" s="29">
        <v>26</v>
      </c>
      <c r="E285" s="35">
        <v>5</v>
      </c>
      <c r="F285" s="36" t="s">
        <v>14</v>
      </c>
      <c r="G285" s="37" t="s">
        <v>25</v>
      </c>
      <c r="H285" s="37" t="s">
        <v>90</v>
      </c>
      <c r="I285" s="33"/>
      <c r="J285" s="34"/>
    </row>
    <row r="286" spans="1:10" x14ac:dyDescent="0.25">
      <c r="A286" s="26">
        <f t="shared" si="15"/>
        <v>46199</v>
      </c>
      <c r="B286" s="27">
        <f>+B284+1</f>
        <v>46199</v>
      </c>
      <c r="C286" s="28">
        <f t="shared" si="16"/>
        <v>46199</v>
      </c>
      <c r="D286" s="29">
        <f t="shared" si="17"/>
        <v>26</v>
      </c>
      <c r="E286" s="35">
        <v>6</v>
      </c>
      <c r="F286" s="36" t="s">
        <v>14</v>
      </c>
      <c r="G286" s="37" t="s">
        <v>25</v>
      </c>
      <c r="H286" s="37" t="s">
        <v>90</v>
      </c>
      <c r="I286" s="33"/>
      <c r="J286" s="34">
        <f>SUM(E279:E286)</f>
        <v>34</v>
      </c>
    </row>
    <row r="287" spans="1:10" x14ac:dyDescent="0.25">
      <c r="A287" s="26">
        <f t="shared" si="15"/>
        <v>46200</v>
      </c>
      <c r="B287" s="27">
        <f t="shared" si="14"/>
        <v>46200</v>
      </c>
      <c r="C287" s="28">
        <f t="shared" si="16"/>
        <v>46200</v>
      </c>
      <c r="D287" s="29">
        <f t="shared" si="17"/>
        <v>26</v>
      </c>
      <c r="E287" s="35"/>
      <c r="F287" s="36"/>
      <c r="G287" s="37"/>
      <c r="H287" s="37"/>
      <c r="I287" s="33"/>
      <c r="J287" s="34"/>
    </row>
    <row r="288" spans="1:10" x14ac:dyDescent="0.25">
      <c r="A288" s="26">
        <f t="shared" si="15"/>
        <v>46201</v>
      </c>
      <c r="B288" s="27">
        <f t="shared" si="14"/>
        <v>46201</v>
      </c>
      <c r="C288" s="28">
        <f t="shared" si="16"/>
        <v>46201</v>
      </c>
      <c r="D288" s="29">
        <f t="shared" si="17"/>
        <v>27</v>
      </c>
      <c r="E288" s="35"/>
      <c r="F288" s="36"/>
      <c r="G288" s="37"/>
      <c r="H288" s="37"/>
      <c r="I288" s="33"/>
      <c r="J288" s="34"/>
    </row>
    <row r="289" spans="1:10" x14ac:dyDescent="0.25">
      <c r="A289" s="26">
        <f t="shared" si="15"/>
        <v>46202</v>
      </c>
      <c r="B289" s="27">
        <f t="shared" si="14"/>
        <v>46202</v>
      </c>
      <c r="C289" s="28">
        <f t="shared" si="16"/>
        <v>46202</v>
      </c>
      <c r="D289" s="29">
        <f t="shared" si="17"/>
        <v>27</v>
      </c>
      <c r="E289" s="35">
        <v>1</v>
      </c>
      <c r="F289" s="36" t="s">
        <v>14</v>
      </c>
      <c r="G289" s="37" t="s">
        <v>25</v>
      </c>
      <c r="H289" s="37" t="s">
        <v>73</v>
      </c>
      <c r="I289" s="33"/>
      <c r="J289" s="34"/>
    </row>
    <row r="290" spans="1:10" x14ac:dyDescent="0.25">
      <c r="A290" s="26">
        <v>46202</v>
      </c>
      <c r="B290" s="27">
        <v>46202</v>
      </c>
      <c r="C290" s="28">
        <v>46202</v>
      </c>
      <c r="D290" s="29">
        <v>27</v>
      </c>
      <c r="E290" s="35">
        <v>2</v>
      </c>
      <c r="F290" s="36" t="s">
        <v>14</v>
      </c>
      <c r="G290" s="37" t="s">
        <v>25</v>
      </c>
      <c r="H290" s="37" t="s">
        <v>90</v>
      </c>
      <c r="I290" s="33"/>
      <c r="J290" s="34"/>
    </row>
    <row r="291" spans="1:10" x14ac:dyDescent="0.25">
      <c r="A291" s="26">
        <v>46202</v>
      </c>
      <c r="B291" s="27">
        <v>46202</v>
      </c>
      <c r="C291" s="28">
        <v>46202</v>
      </c>
      <c r="D291" s="29">
        <v>27</v>
      </c>
      <c r="E291" s="35">
        <v>4</v>
      </c>
      <c r="F291" s="36" t="s">
        <v>10</v>
      </c>
      <c r="G291" s="37" t="s">
        <v>31</v>
      </c>
      <c r="H291" s="37" t="s">
        <v>109</v>
      </c>
      <c r="I291" s="33"/>
      <c r="J291" s="34"/>
    </row>
    <row r="292" spans="1:10" x14ac:dyDescent="0.25">
      <c r="A292" s="26">
        <f t="shared" si="15"/>
        <v>46203</v>
      </c>
      <c r="B292" s="27">
        <f>+B289+1</f>
        <v>46203</v>
      </c>
      <c r="C292" s="28">
        <f t="shared" si="16"/>
        <v>46203</v>
      </c>
      <c r="D292" s="29">
        <f t="shared" si="17"/>
        <v>27</v>
      </c>
      <c r="E292" s="35">
        <v>1.5</v>
      </c>
      <c r="F292" s="36" t="s">
        <v>14</v>
      </c>
      <c r="G292" s="37" t="s">
        <v>25</v>
      </c>
      <c r="H292" s="37" t="s">
        <v>90</v>
      </c>
      <c r="I292" s="33"/>
      <c r="J292" s="34"/>
    </row>
    <row r="293" spans="1:10" x14ac:dyDescent="0.25">
      <c r="A293" s="26">
        <v>46203</v>
      </c>
      <c r="B293" s="27">
        <v>46203</v>
      </c>
      <c r="C293" s="28">
        <v>46203</v>
      </c>
      <c r="D293" s="29">
        <v>27</v>
      </c>
      <c r="E293" s="35">
        <v>4</v>
      </c>
      <c r="F293" s="36" t="s">
        <v>10</v>
      </c>
      <c r="G293" s="37" t="s">
        <v>31</v>
      </c>
      <c r="H293" s="37" t="s">
        <v>109</v>
      </c>
      <c r="I293" s="33"/>
      <c r="J293" s="34"/>
    </row>
    <row r="294" spans="1:10" x14ac:dyDescent="0.25">
      <c r="A294" s="26">
        <v>46203</v>
      </c>
      <c r="B294" s="27">
        <v>46203</v>
      </c>
      <c r="C294" s="28">
        <v>46203</v>
      </c>
      <c r="D294" s="29">
        <v>27</v>
      </c>
      <c r="E294" s="35">
        <v>1.5</v>
      </c>
      <c r="F294" s="36" t="s">
        <v>14</v>
      </c>
      <c r="G294" s="37" t="s">
        <v>20</v>
      </c>
      <c r="H294" s="37" t="s">
        <v>33</v>
      </c>
      <c r="I294" s="33"/>
      <c r="J294" s="34"/>
    </row>
    <row r="295" spans="1:10" x14ac:dyDescent="0.25">
      <c r="A295" s="26">
        <f t="shared" si="15"/>
        <v>46204</v>
      </c>
      <c r="B295" s="27">
        <f>+B292+1</f>
        <v>46204</v>
      </c>
      <c r="C295" s="28">
        <f t="shared" si="16"/>
        <v>46204</v>
      </c>
      <c r="D295" s="29">
        <f t="shared" si="17"/>
        <v>27</v>
      </c>
      <c r="E295" s="35">
        <v>7</v>
      </c>
      <c r="F295" s="36" t="s">
        <v>7</v>
      </c>
      <c r="G295" s="37" t="s">
        <v>8</v>
      </c>
      <c r="H295" s="37" t="s">
        <v>9</v>
      </c>
      <c r="I295" s="33"/>
      <c r="J295" s="34"/>
    </row>
    <row r="296" spans="1:10" x14ac:dyDescent="0.25">
      <c r="A296" s="26">
        <f t="shared" si="15"/>
        <v>46205</v>
      </c>
      <c r="B296" s="27">
        <f t="shared" si="14"/>
        <v>46205</v>
      </c>
      <c r="C296" s="28">
        <f t="shared" si="16"/>
        <v>46205</v>
      </c>
      <c r="D296" s="29">
        <f t="shared" si="17"/>
        <v>27</v>
      </c>
      <c r="E296" s="35">
        <v>7</v>
      </c>
      <c r="F296" s="36" t="s">
        <v>7</v>
      </c>
      <c r="G296" s="37" t="s">
        <v>8</v>
      </c>
      <c r="H296" s="37" t="s">
        <v>9</v>
      </c>
      <c r="I296" s="33"/>
      <c r="J296" s="34"/>
    </row>
    <row r="297" spans="1:10" x14ac:dyDescent="0.25">
      <c r="A297" s="26">
        <f t="shared" si="15"/>
        <v>46206</v>
      </c>
      <c r="B297" s="27">
        <f t="shared" si="14"/>
        <v>46206</v>
      </c>
      <c r="C297" s="28">
        <f t="shared" si="16"/>
        <v>46206</v>
      </c>
      <c r="D297" s="29">
        <f t="shared" si="17"/>
        <v>27</v>
      </c>
      <c r="E297" s="35">
        <v>6</v>
      </c>
      <c r="F297" s="36" t="s">
        <v>7</v>
      </c>
      <c r="G297" s="37" t="s">
        <v>8</v>
      </c>
      <c r="H297" s="37" t="s">
        <v>9</v>
      </c>
      <c r="I297" s="33"/>
      <c r="J297" s="34">
        <f>SUM(E289:E297)</f>
        <v>34</v>
      </c>
    </row>
    <row r="298" spans="1:10" x14ac:dyDescent="0.25">
      <c r="A298" s="26">
        <f t="shared" si="15"/>
        <v>46207</v>
      </c>
      <c r="B298" s="27">
        <f t="shared" si="14"/>
        <v>46207</v>
      </c>
      <c r="C298" s="28">
        <f t="shared" si="16"/>
        <v>46207</v>
      </c>
      <c r="D298" s="29">
        <f t="shared" si="17"/>
        <v>27</v>
      </c>
      <c r="E298" s="35"/>
      <c r="F298" s="36"/>
      <c r="G298" s="37"/>
      <c r="H298" s="37"/>
      <c r="I298" s="33"/>
      <c r="J298" s="34"/>
    </row>
    <row r="299" spans="1:10" x14ac:dyDescent="0.25">
      <c r="A299" s="26">
        <f t="shared" si="15"/>
        <v>46208</v>
      </c>
      <c r="B299" s="27">
        <f t="shared" si="14"/>
        <v>46208</v>
      </c>
      <c r="C299" s="28">
        <f t="shared" si="16"/>
        <v>46208</v>
      </c>
      <c r="D299" s="29">
        <f t="shared" si="17"/>
        <v>28</v>
      </c>
      <c r="E299" s="35"/>
      <c r="F299" s="36"/>
      <c r="G299" s="37"/>
      <c r="H299" s="37"/>
      <c r="I299" s="33"/>
      <c r="J299" s="34"/>
    </row>
    <row r="300" spans="1:10" x14ac:dyDescent="0.25">
      <c r="A300" s="26">
        <f t="shared" si="15"/>
        <v>46209</v>
      </c>
      <c r="B300" s="27">
        <f t="shared" si="14"/>
        <v>46209</v>
      </c>
      <c r="C300" s="28">
        <f t="shared" si="16"/>
        <v>46209</v>
      </c>
      <c r="D300" s="29">
        <f t="shared" si="17"/>
        <v>28</v>
      </c>
      <c r="E300" s="35">
        <v>7</v>
      </c>
      <c r="F300" s="36" t="s">
        <v>7</v>
      </c>
      <c r="G300" s="37" t="s">
        <v>8</v>
      </c>
      <c r="H300" s="37" t="s">
        <v>9</v>
      </c>
      <c r="I300" s="33"/>
      <c r="J300" s="34"/>
    </row>
    <row r="301" spans="1:10" x14ac:dyDescent="0.25">
      <c r="A301" s="26">
        <f t="shared" si="15"/>
        <v>46210</v>
      </c>
      <c r="B301" s="27">
        <f t="shared" si="14"/>
        <v>46210</v>
      </c>
      <c r="C301" s="28">
        <f t="shared" si="16"/>
        <v>46210</v>
      </c>
      <c r="D301" s="29">
        <f t="shared" si="17"/>
        <v>28</v>
      </c>
      <c r="E301" s="35">
        <v>7</v>
      </c>
      <c r="F301" s="36" t="s">
        <v>10</v>
      </c>
      <c r="G301" s="37" t="s">
        <v>11</v>
      </c>
      <c r="H301" s="37" t="s">
        <v>110</v>
      </c>
      <c r="I301" s="33"/>
      <c r="J301" s="34"/>
    </row>
    <row r="302" spans="1:10" x14ac:dyDescent="0.25">
      <c r="A302" s="26">
        <f t="shared" si="15"/>
        <v>46211</v>
      </c>
      <c r="B302" s="27">
        <f t="shared" si="14"/>
        <v>46211</v>
      </c>
      <c r="C302" s="28">
        <f t="shared" si="16"/>
        <v>46211</v>
      </c>
      <c r="D302" s="29">
        <f t="shared" si="17"/>
        <v>28</v>
      </c>
      <c r="E302" s="35">
        <v>5</v>
      </c>
      <c r="F302" s="36" t="s">
        <v>10</v>
      </c>
      <c r="G302" s="37" t="s">
        <v>11</v>
      </c>
      <c r="H302" s="37" t="s">
        <v>110</v>
      </c>
      <c r="I302" s="33"/>
      <c r="J302" s="34"/>
    </row>
    <row r="303" spans="1:10" x14ac:dyDescent="0.25">
      <c r="A303" s="26">
        <v>46211</v>
      </c>
      <c r="B303" s="27">
        <v>46211</v>
      </c>
      <c r="C303" s="28">
        <v>46211</v>
      </c>
      <c r="D303" s="29">
        <v>28</v>
      </c>
      <c r="E303" s="35">
        <v>1</v>
      </c>
      <c r="F303" s="36" t="s">
        <v>100</v>
      </c>
      <c r="G303" s="37" t="s">
        <v>88</v>
      </c>
      <c r="H303" s="37" t="s">
        <v>111</v>
      </c>
      <c r="I303" s="33"/>
      <c r="J303" s="34"/>
    </row>
    <row r="304" spans="1:10" x14ac:dyDescent="0.25">
      <c r="A304" s="26">
        <v>46211</v>
      </c>
      <c r="B304" s="27">
        <v>46211</v>
      </c>
      <c r="C304" s="28">
        <v>46211</v>
      </c>
      <c r="D304" s="29">
        <v>28</v>
      </c>
      <c r="E304" s="35">
        <v>1</v>
      </c>
      <c r="F304" s="36" t="s">
        <v>14</v>
      </c>
      <c r="G304" s="37" t="s">
        <v>20</v>
      </c>
      <c r="H304" s="37" t="s">
        <v>112</v>
      </c>
      <c r="I304" s="33"/>
      <c r="J304" s="34"/>
    </row>
    <row r="305" spans="1:10" x14ac:dyDescent="0.25">
      <c r="A305" s="26">
        <f t="shared" si="15"/>
        <v>46212</v>
      </c>
      <c r="B305" s="27">
        <f>+B302+1</f>
        <v>46212</v>
      </c>
      <c r="C305" s="28">
        <f t="shared" si="16"/>
        <v>46212</v>
      </c>
      <c r="D305" s="29">
        <f t="shared" si="17"/>
        <v>28</v>
      </c>
      <c r="E305" s="35">
        <v>1.5</v>
      </c>
      <c r="F305" s="36" t="s">
        <v>100</v>
      </c>
      <c r="G305" s="37" t="s">
        <v>88</v>
      </c>
      <c r="H305" s="37" t="s">
        <v>103</v>
      </c>
      <c r="I305" s="33"/>
      <c r="J305" s="34"/>
    </row>
    <row r="306" spans="1:10" x14ac:dyDescent="0.25">
      <c r="A306" s="26">
        <v>46212</v>
      </c>
      <c r="B306" s="27">
        <v>46212</v>
      </c>
      <c r="C306" s="28">
        <v>46212</v>
      </c>
      <c r="D306" s="29">
        <v>28</v>
      </c>
      <c r="E306" s="35">
        <v>2</v>
      </c>
      <c r="F306" s="36" t="s">
        <v>100</v>
      </c>
      <c r="G306" s="37" t="s">
        <v>107</v>
      </c>
      <c r="H306" s="37" t="s">
        <v>108</v>
      </c>
      <c r="I306" s="33"/>
      <c r="J306" s="34"/>
    </row>
    <row r="307" spans="1:10" x14ac:dyDescent="0.25">
      <c r="A307" s="26">
        <v>46212</v>
      </c>
      <c r="B307" s="27">
        <v>46212</v>
      </c>
      <c r="C307" s="28">
        <v>46212</v>
      </c>
      <c r="D307" s="29">
        <v>28</v>
      </c>
      <c r="E307" s="35">
        <v>3.5</v>
      </c>
      <c r="F307" s="36" t="s">
        <v>14</v>
      </c>
      <c r="G307" s="37" t="s">
        <v>25</v>
      </c>
      <c r="H307" s="37" t="s">
        <v>90</v>
      </c>
      <c r="I307" s="33"/>
      <c r="J307" s="34"/>
    </row>
    <row r="308" spans="1:10" x14ac:dyDescent="0.25">
      <c r="A308" s="26">
        <f t="shared" si="15"/>
        <v>46213</v>
      </c>
      <c r="B308" s="27">
        <f>+B305+1</f>
        <v>46213</v>
      </c>
      <c r="C308" s="28">
        <f t="shared" si="16"/>
        <v>46213</v>
      </c>
      <c r="D308" s="29">
        <f t="shared" si="17"/>
        <v>28</v>
      </c>
      <c r="E308" s="35">
        <v>4</v>
      </c>
      <c r="F308" s="36" t="s">
        <v>14</v>
      </c>
      <c r="G308" s="37" t="s">
        <v>25</v>
      </c>
      <c r="H308" s="37" t="s">
        <v>90</v>
      </c>
      <c r="I308" s="33"/>
      <c r="J308" s="34"/>
    </row>
    <row r="309" spans="1:10" x14ac:dyDescent="0.25">
      <c r="A309" s="26">
        <v>46213</v>
      </c>
      <c r="B309" s="27">
        <v>46213</v>
      </c>
      <c r="C309" s="28">
        <v>46213</v>
      </c>
      <c r="D309" s="29">
        <v>28</v>
      </c>
      <c r="E309" s="35">
        <v>2</v>
      </c>
      <c r="F309" s="36" t="s">
        <v>100</v>
      </c>
      <c r="G309" s="37" t="s">
        <v>105</v>
      </c>
      <c r="H309" s="37" t="s">
        <v>106</v>
      </c>
      <c r="I309" s="33"/>
      <c r="J309" s="34">
        <f>SUM(E300:E309)</f>
        <v>34</v>
      </c>
    </row>
    <row r="310" spans="1:10" x14ac:dyDescent="0.25">
      <c r="A310" s="26">
        <f t="shared" si="15"/>
        <v>46214</v>
      </c>
      <c r="B310" s="27">
        <f>+B308+1</f>
        <v>46214</v>
      </c>
      <c r="C310" s="28">
        <f t="shared" si="16"/>
        <v>46214</v>
      </c>
      <c r="D310" s="29">
        <f t="shared" si="17"/>
        <v>28</v>
      </c>
      <c r="E310" s="35"/>
      <c r="F310" s="36"/>
      <c r="G310" s="37"/>
      <c r="H310" s="37"/>
      <c r="I310" s="33"/>
      <c r="J310" s="34"/>
    </row>
    <row r="311" spans="1:10" x14ac:dyDescent="0.25">
      <c r="A311" s="26">
        <f t="shared" si="15"/>
        <v>46215</v>
      </c>
      <c r="B311" s="27">
        <f t="shared" si="14"/>
        <v>46215</v>
      </c>
      <c r="C311" s="28">
        <f t="shared" si="16"/>
        <v>46215</v>
      </c>
      <c r="D311" s="29">
        <f t="shared" si="17"/>
        <v>29</v>
      </c>
      <c r="E311" s="35"/>
      <c r="F311" s="36"/>
      <c r="G311" s="37"/>
      <c r="H311" s="37"/>
      <c r="I311" s="33"/>
      <c r="J311" s="34"/>
    </row>
    <row r="312" spans="1:10" x14ac:dyDescent="0.25">
      <c r="A312" s="26">
        <f t="shared" si="15"/>
        <v>46216</v>
      </c>
      <c r="B312" s="27">
        <f t="shared" si="14"/>
        <v>46216</v>
      </c>
      <c r="C312" s="28">
        <f t="shared" si="16"/>
        <v>46216</v>
      </c>
      <c r="D312" s="29">
        <f t="shared" si="17"/>
        <v>29</v>
      </c>
      <c r="E312" s="35">
        <v>7</v>
      </c>
      <c r="F312" s="36" t="s">
        <v>10</v>
      </c>
      <c r="G312" s="37" t="s">
        <v>11</v>
      </c>
      <c r="H312" s="37" t="s">
        <v>113</v>
      </c>
      <c r="I312" s="33"/>
      <c r="J312" s="34"/>
    </row>
    <row r="313" spans="1:10" x14ac:dyDescent="0.25">
      <c r="A313" s="26">
        <f t="shared" si="15"/>
        <v>46217</v>
      </c>
      <c r="B313" s="27">
        <f t="shared" si="14"/>
        <v>46217</v>
      </c>
      <c r="C313" s="28">
        <f t="shared" si="16"/>
        <v>46217</v>
      </c>
      <c r="D313" s="29">
        <f t="shared" si="17"/>
        <v>29</v>
      </c>
      <c r="E313" s="35">
        <v>4</v>
      </c>
      <c r="F313" s="36" t="s">
        <v>10</v>
      </c>
      <c r="G313" s="37" t="s">
        <v>11</v>
      </c>
      <c r="H313" s="37" t="s">
        <v>113</v>
      </c>
      <c r="I313" s="33"/>
      <c r="J313" s="34"/>
    </row>
    <row r="314" spans="1:10" x14ac:dyDescent="0.25">
      <c r="A314" s="26">
        <v>46217</v>
      </c>
      <c r="B314" s="27">
        <v>46217</v>
      </c>
      <c r="C314" s="28">
        <v>46217</v>
      </c>
      <c r="D314" s="29">
        <v>29</v>
      </c>
      <c r="E314" s="35">
        <v>3</v>
      </c>
      <c r="F314" s="36" t="s">
        <v>14</v>
      </c>
      <c r="G314" s="37" t="s">
        <v>25</v>
      </c>
      <c r="H314" s="37" t="s">
        <v>90</v>
      </c>
      <c r="I314" s="33"/>
      <c r="J314" s="34"/>
    </row>
    <row r="315" spans="1:10" x14ac:dyDescent="0.25">
      <c r="A315" s="26">
        <f t="shared" si="15"/>
        <v>46218</v>
      </c>
      <c r="B315" s="27">
        <f>+B313+1</f>
        <v>46218</v>
      </c>
      <c r="C315" s="28">
        <f t="shared" si="16"/>
        <v>46218</v>
      </c>
      <c r="D315" s="29">
        <f t="shared" si="17"/>
        <v>29</v>
      </c>
      <c r="E315" s="35">
        <v>7</v>
      </c>
      <c r="F315" s="36" t="s">
        <v>7</v>
      </c>
      <c r="G315" s="37" t="s">
        <v>8</v>
      </c>
      <c r="H315" s="37" t="s">
        <v>9</v>
      </c>
      <c r="I315" s="33"/>
      <c r="J315" s="34"/>
    </row>
    <row r="316" spans="1:10" x14ac:dyDescent="0.25">
      <c r="A316" s="26">
        <f t="shared" si="15"/>
        <v>46219</v>
      </c>
      <c r="B316" s="27">
        <f t="shared" si="14"/>
        <v>46219</v>
      </c>
      <c r="C316" s="28">
        <f t="shared" si="16"/>
        <v>46219</v>
      </c>
      <c r="D316" s="29">
        <f t="shared" si="17"/>
        <v>29</v>
      </c>
      <c r="E316" s="35">
        <v>7</v>
      </c>
      <c r="F316" s="36" t="s">
        <v>7</v>
      </c>
      <c r="G316" s="37" t="s">
        <v>8</v>
      </c>
      <c r="H316" s="37" t="s">
        <v>9</v>
      </c>
      <c r="I316" s="33"/>
      <c r="J316" s="34"/>
    </row>
    <row r="317" spans="1:10" x14ac:dyDescent="0.25">
      <c r="A317" s="26">
        <f t="shared" si="15"/>
        <v>46220</v>
      </c>
      <c r="B317" s="27">
        <f t="shared" si="14"/>
        <v>46220</v>
      </c>
      <c r="C317" s="28">
        <f t="shared" si="16"/>
        <v>46220</v>
      </c>
      <c r="D317" s="29">
        <f t="shared" si="17"/>
        <v>29</v>
      </c>
      <c r="E317" s="35">
        <v>6</v>
      </c>
      <c r="F317" s="36" t="s">
        <v>7</v>
      </c>
      <c r="G317" s="37" t="s">
        <v>8</v>
      </c>
      <c r="H317" s="37" t="s">
        <v>9</v>
      </c>
      <c r="I317" s="33"/>
      <c r="J317" s="34">
        <f>SUM(E312:E317)</f>
        <v>34</v>
      </c>
    </row>
    <row r="318" spans="1:10" x14ac:dyDescent="0.25">
      <c r="A318" s="26">
        <f t="shared" si="15"/>
        <v>46221</v>
      </c>
      <c r="B318" s="27">
        <f t="shared" si="14"/>
        <v>46221</v>
      </c>
      <c r="C318" s="28">
        <f t="shared" si="16"/>
        <v>46221</v>
      </c>
      <c r="D318" s="29">
        <f t="shared" si="17"/>
        <v>29</v>
      </c>
      <c r="E318" s="35"/>
      <c r="F318" s="36"/>
      <c r="G318" s="37"/>
      <c r="H318" s="37"/>
      <c r="I318" s="33"/>
      <c r="J318" s="34"/>
    </row>
    <row r="319" spans="1:10" x14ac:dyDescent="0.25">
      <c r="A319" s="26">
        <f t="shared" si="15"/>
        <v>46222</v>
      </c>
      <c r="B319" s="27">
        <f t="shared" si="14"/>
        <v>46222</v>
      </c>
      <c r="C319" s="28">
        <f t="shared" si="16"/>
        <v>46222</v>
      </c>
      <c r="D319" s="29">
        <f t="shared" si="17"/>
        <v>30</v>
      </c>
      <c r="E319" s="35"/>
      <c r="F319" s="36"/>
      <c r="G319" s="37"/>
      <c r="H319" s="37"/>
      <c r="I319" s="33"/>
      <c r="J319" s="34"/>
    </row>
    <row r="320" spans="1:10" x14ac:dyDescent="0.25">
      <c r="A320" s="26">
        <f t="shared" si="15"/>
        <v>46223</v>
      </c>
      <c r="B320" s="27">
        <f t="shared" si="14"/>
        <v>46223</v>
      </c>
      <c r="C320" s="28">
        <f t="shared" si="16"/>
        <v>46223</v>
      </c>
      <c r="D320" s="29">
        <f t="shared" si="17"/>
        <v>30</v>
      </c>
      <c r="E320" s="35">
        <v>7</v>
      </c>
      <c r="F320" s="36" t="s">
        <v>7</v>
      </c>
      <c r="G320" s="37" t="s">
        <v>8</v>
      </c>
      <c r="H320" s="37" t="s">
        <v>9</v>
      </c>
      <c r="I320" s="33"/>
      <c r="J320" s="34"/>
    </row>
    <row r="321" spans="1:10" x14ac:dyDescent="0.25">
      <c r="A321" s="26">
        <f t="shared" si="15"/>
        <v>46224</v>
      </c>
      <c r="B321" s="27">
        <f t="shared" si="14"/>
        <v>46224</v>
      </c>
      <c r="C321" s="28">
        <f t="shared" si="16"/>
        <v>46224</v>
      </c>
      <c r="D321" s="29">
        <f t="shared" si="17"/>
        <v>30</v>
      </c>
      <c r="E321" s="35">
        <v>7</v>
      </c>
      <c r="F321" s="36" t="s">
        <v>7</v>
      </c>
      <c r="G321" s="37" t="s">
        <v>8</v>
      </c>
      <c r="H321" s="37" t="s">
        <v>9</v>
      </c>
      <c r="I321" s="33"/>
      <c r="J321" s="34"/>
    </row>
    <row r="322" spans="1:10" x14ac:dyDescent="0.25">
      <c r="A322" s="26">
        <f t="shared" si="15"/>
        <v>46225</v>
      </c>
      <c r="B322" s="27">
        <f t="shared" si="14"/>
        <v>46225</v>
      </c>
      <c r="C322" s="28">
        <f t="shared" si="16"/>
        <v>46225</v>
      </c>
      <c r="D322" s="29">
        <f t="shared" si="17"/>
        <v>30</v>
      </c>
      <c r="E322" s="35">
        <v>7</v>
      </c>
      <c r="F322" s="36" t="s">
        <v>7</v>
      </c>
      <c r="G322" s="37" t="s">
        <v>8</v>
      </c>
      <c r="H322" s="37" t="s">
        <v>9</v>
      </c>
      <c r="I322" s="33"/>
      <c r="J322" s="34"/>
    </row>
    <row r="323" spans="1:10" x14ac:dyDescent="0.25">
      <c r="A323" s="26">
        <f t="shared" si="15"/>
        <v>46226</v>
      </c>
      <c r="B323" s="27">
        <f t="shared" si="14"/>
        <v>46226</v>
      </c>
      <c r="C323" s="28">
        <f t="shared" si="16"/>
        <v>46226</v>
      </c>
      <c r="D323" s="29">
        <f t="shared" si="17"/>
        <v>30</v>
      </c>
      <c r="E323" s="35">
        <v>7</v>
      </c>
      <c r="F323" s="36" t="s">
        <v>7</v>
      </c>
      <c r="G323" s="37" t="s">
        <v>8</v>
      </c>
      <c r="H323" s="37" t="s">
        <v>9</v>
      </c>
      <c r="I323" s="33"/>
      <c r="J323" s="34"/>
    </row>
    <row r="324" spans="1:10" x14ac:dyDescent="0.25">
      <c r="A324" s="26">
        <f t="shared" si="15"/>
        <v>46227</v>
      </c>
      <c r="B324" s="27">
        <f t="shared" si="14"/>
        <v>46227</v>
      </c>
      <c r="C324" s="28">
        <f t="shared" si="16"/>
        <v>46227</v>
      </c>
      <c r="D324" s="29">
        <f t="shared" si="17"/>
        <v>30</v>
      </c>
      <c r="E324" s="35">
        <v>6</v>
      </c>
      <c r="F324" s="36" t="s">
        <v>7</v>
      </c>
      <c r="G324" s="37" t="s">
        <v>8</v>
      </c>
      <c r="H324" s="37" t="s">
        <v>9</v>
      </c>
      <c r="I324" s="33"/>
      <c r="J324" s="34">
        <f>SUM(E320:E324)</f>
        <v>34</v>
      </c>
    </row>
    <row r="325" spans="1:10" x14ac:dyDescent="0.25">
      <c r="A325" s="26">
        <f t="shared" si="15"/>
        <v>46228</v>
      </c>
      <c r="B325" s="27">
        <f t="shared" si="14"/>
        <v>46228</v>
      </c>
      <c r="C325" s="28">
        <f t="shared" si="16"/>
        <v>46228</v>
      </c>
      <c r="D325" s="29">
        <f t="shared" si="17"/>
        <v>30</v>
      </c>
      <c r="E325" s="35"/>
      <c r="F325" s="36"/>
      <c r="G325" s="37"/>
      <c r="H325" s="37"/>
      <c r="I325" s="33"/>
      <c r="J325" s="34"/>
    </row>
    <row r="326" spans="1:10" x14ac:dyDescent="0.25">
      <c r="A326" s="26">
        <f t="shared" si="15"/>
        <v>46229</v>
      </c>
      <c r="B326" s="27">
        <f t="shared" si="14"/>
        <v>46229</v>
      </c>
      <c r="C326" s="28">
        <f t="shared" si="16"/>
        <v>46229</v>
      </c>
      <c r="D326" s="29">
        <f t="shared" si="17"/>
        <v>31</v>
      </c>
      <c r="E326" s="35"/>
      <c r="F326" s="36"/>
      <c r="G326" s="37"/>
      <c r="H326" s="37"/>
      <c r="I326" s="33"/>
      <c r="J326" s="34"/>
    </row>
    <row r="327" spans="1:10" x14ac:dyDescent="0.25">
      <c r="A327" s="26">
        <f t="shared" si="15"/>
        <v>46230</v>
      </c>
      <c r="B327" s="27">
        <f t="shared" si="14"/>
        <v>46230</v>
      </c>
      <c r="C327" s="28">
        <f t="shared" si="16"/>
        <v>46230</v>
      </c>
      <c r="D327" s="29">
        <f t="shared" si="17"/>
        <v>31</v>
      </c>
      <c r="E327" s="35">
        <v>7</v>
      </c>
      <c r="F327" s="36" t="s">
        <v>10</v>
      </c>
      <c r="G327" s="37" t="s">
        <v>11</v>
      </c>
      <c r="H327" s="37" t="s">
        <v>114</v>
      </c>
      <c r="I327" s="33"/>
      <c r="J327" s="34"/>
    </row>
    <row r="328" spans="1:10" x14ac:dyDescent="0.25">
      <c r="A328" s="26">
        <f t="shared" si="15"/>
        <v>46231</v>
      </c>
      <c r="B328" s="27">
        <f>+B327+1</f>
        <v>46231</v>
      </c>
      <c r="C328" s="28">
        <f t="shared" si="16"/>
        <v>46231</v>
      </c>
      <c r="D328" s="29">
        <f t="shared" si="17"/>
        <v>31</v>
      </c>
      <c r="E328" s="35">
        <v>1</v>
      </c>
      <c r="F328" s="36" t="s">
        <v>14</v>
      </c>
      <c r="G328" s="37" t="s">
        <v>20</v>
      </c>
      <c r="H328" s="37" t="s">
        <v>94</v>
      </c>
      <c r="I328" s="33"/>
      <c r="J328" s="34"/>
    </row>
    <row r="329" spans="1:10" x14ac:dyDescent="0.25">
      <c r="A329" s="26">
        <v>46231</v>
      </c>
      <c r="B329" s="27">
        <v>46231</v>
      </c>
      <c r="C329" s="28">
        <v>46231</v>
      </c>
      <c r="D329" s="29">
        <v>31</v>
      </c>
      <c r="E329" s="35">
        <v>6</v>
      </c>
      <c r="F329" s="36" t="s">
        <v>14</v>
      </c>
      <c r="G329" s="37" t="s">
        <v>25</v>
      </c>
      <c r="H329" s="37" t="s">
        <v>90</v>
      </c>
      <c r="I329" s="33"/>
      <c r="J329" s="34"/>
    </row>
    <row r="330" spans="1:10" x14ac:dyDescent="0.25">
      <c r="A330" s="26">
        <f t="shared" si="15"/>
        <v>46232</v>
      </c>
      <c r="B330" s="27">
        <f>+B328+1</f>
        <v>46232</v>
      </c>
      <c r="C330" s="28">
        <f t="shared" si="16"/>
        <v>46232</v>
      </c>
      <c r="D330" s="29">
        <f t="shared" si="17"/>
        <v>31</v>
      </c>
      <c r="E330" s="35">
        <v>1.5</v>
      </c>
      <c r="F330" s="36" t="s">
        <v>14</v>
      </c>
      <c r="G330" s="37" t="s">
        <v>20</v>
      </c>
      <c r="H330" s="37" t="s">
        <v>33</v>
      </c>
      <c r="I330" s="33"/>
      <c r="J330" s="34"/>
    </row>
    <row r="331" spans="1:10" x14ac:dyDescent="0.25">
      <c r="A331" s="26">
        <v>46232</v>
      </c>
      <c r="B331" s="27">
        <v>46232</v>
      </c>
      <c r="C331" s="28">
        <v>46232</v>
      </c>
      <c r="D331" s="29">
        <v>31</v>
      </c>
      <c r="E331" s="35">
        <v>5.5</v>
      </c>
      <c r="F331" s="36" t="s">
        <v>100</v>
      </c>
      <c r="G331" s="37" t="s">
        <v>105</v>
      </c>
      <c r="H331" s="37" t="s">
        <v>115</v>
      </c>
      <c r="I331" s="33"/>
      <c r="J331" s="34"/>
    </row>
    <row r="332" spans="1:10" x14ac:dyDescent="0.25">
      <c r="A332" s="26">
        <f t="shared" si="15"/>
        <v>46233</v>
      </c>
      <c r="B332" s="27">
        <f>+B330+1</f>
        <v>46233</v>
      </c>
      <c r="C332" s="28">
        <f t="shared" si="16"/>
        <v>46233</v>
      </c>
      <c r="D332" s="29">
        <f t="shared" si="17"/>
        <v>31</v>
      </c>
      <c r="E332" s="35">
        <v>3</v>
      </c>
      <c r="F332" s="36" t="s">
        <v>100</v>
      </c>
      <c r="G332" s="37" t="s">
        <v>107</v>
      </c>
      <c r="H332" s="37" t="s">
        <v>108</v>
      </c>
      <c r="I332" s="33"/>
      <c r="J332" s="34"/>
    </row>
    <row r="333" spans="1:10" x14ac:dyDescent="0.25">
      <c r="A333" s="26">
        <v>46233</v>
      </c>
      <c r="B333" s="27">
        <v>46233</v>
      </c>
      <c r="C333" s="28">
        <v>46233</v>
      </c>
      <c r="D333" s="29">
        <v>31</v>
      </c>
      <c r="E333" s="35">
        <v>4</v>
      </c>
      <c r="F333" s="36" t="s">
        <v>100</v>
      </c>
      <c r="G333" s="37" t="s">
        <v>105</v>
      </c>
      <c r="H333" s="37" t="s">
        <v>115</v>
      </c>
      <c r="I333" s="33"/>
      <c r="J333" s="34"/>
    </row>
    <row r="334" spans="1:10" x14ac:dyDescent="0.25">
      <c r="A334" s="26">
        <f t="shared" si="15"/>
        <v>46234</v>
      </c>
      <c r="B334" s="27">
        <f>+B332+1</f>
        <v>46234</v>
      </c>
      <c r="C334" s="28">
        <f t="shared" si="16"/>
        <v>46234</v>
      </c>
      <c r="D334" s="29">
        <f t="shared" si="17"/>
        <v>31</v>
      </c>
      <c r="E334" s="35">
        <v>3</v>
      </c>
      <c r="F334" s="36" t="s">
        <v>14</v>
      </c>
      <c r="G334" s="37" t="s">
        <v>15</v>
      </c>
      <c r="H334" s="37" t="s">
        <v>81</v>
      </c>
      <c r="I334" s="33"/>
      <c r="J334" s="34"/>
    </row>
    <row r="335" spans="1:10" x14ac:dyDescent="0.25">
      <c r="A335" s="26">
        <v>46234</v>
      </c>
      <c r="B335" s="27">
        <v>46234</v>
      </c>
      <c r="C335" s="28">
        <v>46234</v>
      </c>
      <c r="D335" s="29">
        <v>31</v>
      </c>
      <c r="E335" s="35">
        <v>3</v>
      </c>
      <c r="F335" s="36" t="s">
        <v>14</v>
      </c>
      <c r="G335" s="37" t="s">
        <v>25</v>
      </c>
      <c r="H335" s="37" t="s">
        <v>90</v>
      </c>
      <c r="I335" s="33"/>
      <c r="J335" s="34">
        <f>SUM(E327:E335)</f>
        <v>34</v>
      </c>
    </row>
    <row r="336" spans="1:10" x14ac:dyDescent="0.25">
      <c r="A336" s="26">
        <f t="shared" si="15"/>
        <v>46235</v>
      </c>
      <c r="B336" s="27">
        <f>+B334+1</f>
        <v>46235</v>
      </c>
      <c r="C336" s="28">
        <f t="shared" si="16"/>
        <v>46235</v>
      </c>
      <c r="D336" s="29">
        <f t="shared" si="17"/>
        <v>31</v>
      </c>
      <c r="E336" s="35"/>
      <c r="F336" s="36"/>
      <c r="G336" s="37"/>
      <c r="H336" s="37"/>
      <c r="I336" s="33"/>
      <c r="J336" s="34"/>
    </row>
    <row r="337" spans="1:10" x14ac:dyDescent="0.25">
      <c r="A337" s="26">
        <f t="shared" si="15"/>
        <v>46236</v>
      </c>
      <c r="B337" s="27">
        <f t="shared" ref="B337:B400" si="18">+B336+1</f>
        <v>46236</v>
      </c>
      <c r="C337" s="28">
        <f t="shared" si="16"/>
        <v>46236</v>
      </c>
      <c r="D337" s="29">
        <f t="shared" si="17"/>
        <v>32</v>
      </c>
      <c r="E337" s="35"/>
      <c r="F337" s="36"/>
      <c r="G337" s="37"/>
      <c r="H337" s="37"/>
      <c r="I337" s="33"/>
      <c r="J337" s="34"/>
    </row>
    <row r="338" spans="1:10" x14ac:dyDescent="0.25">
      <c r="A338" s="26">
        <f t="shared" si="15"/>
        <v>46237</v>
      </c>
      <c r="B338" s="27">
        <f t="shared" si="18"/>
        <v>46237</v>
      </c>
      <c r="C338" s="28">
        <f t="shared" si="16"/>
        <v>46237</v>
      </c>
      <c r="D338" s="29">
        <f t="shared" si="17"/>
        <v>32</v>
      </c>
      <c r="E338" s="35">
        <v>2</v>
      </c>
      <c r="F338" s="36" t="s">
        <v>14</v>
      </c>
      <c r="G338" s="37" t="s">
        <v>15</v>
      </c>
      <c r="H338" s="37" t="s">
        <v>81</v>
      </c>
      <c r="I338" s="33"/>
      <c r="J338" s="34"/>
    </row>
    <row r="339" spans="1:10" x14ac:dyDescent="0.25">
      <c r="A339" s="26">
        <v>46237</v>
      </c>
      <c r="B339" s="27">
        <v>46237</v>
      </c>
      <c r="C339" s="28">
        <v>46237</v>
      </c>
      <c r="D339" s="29">
        <v>32</v>
      </c>
      <c r="E339" s="35">
        <v>3</v>
      </c>
      <c r="F339" s="36" t="s">
        <v>100</v>
      </c>
      <c r="G339" s="37" t="s">
        <v>107</v>
      </c>
      <c r="H339" s="37" t="s">
        <v>108</v>
      </c>
      <c r="I339" s="33"/>
      <c r="J339" s="34"/>
    </row>
    <row r="340" spans="1:10" x14ac:dyDescent="0.25">
      <c r="A340" s="26">
        <v>46237</v>
      </c>
      <c r="B340" s="27">
        <v>46237</v>
      </c>
      <c r="C340" s="28">
        <v>46237</v>
      </c>
      <c r="D340" s="29">
        <v>32</v>
      </c>
      <c r="E340" s="35">
        <v>2</v>
      </c>
      <c r="F340" s="36" t="s">
        <v>100</v>
      </c>
      <c r="G340" s="37" t="s">
        <v>105</v>
      </c>
      <c r="H340" s="37" t="s">
        <v>115</v>
      </c>
      <c r="I340" s="33"/>
      <c r="J340" s="34"/>
    </row>
    <row r="341" spans="1:10" x14ac:dyDescent="0.25">
      <c r="A341" s="26">
        <f t="shared" si="15"/>
        <v>46238</v>
      </c>
      <c r="B341" s="27">
        <f>+B338+1</f>
        <v>46238</v>
      </c>
      <c r="C341" s="28">
        <f t="shared" si="16"/>
        <v>46238</v>
      </c>
      <c r="D341" s="29">
        <f t="shared" si="17"/>
        <v>32</v>
      </c>
      <c r="E341" s="35">
        <v>2</v>
      </c>
      <c r="F341" s="36" t="s">
        <v>14</v>
      </c>
      <c r="G341" s="37" t="s">
        <v>15</v>
      </c>
      <c r="H341" s="37" t="s">
        <v>81</v>
      </c>
      <c r="I341" s="33"/>
      <c r="J341" s="34"/>
    </row>
    <row r="342" spans="1:10" x14ac:dyDescent="0.25">
      <c r="A342" s="26">
        <v>46238</v>
      </c>
      <c r="B342" s="27">
        <v>46238</v>
      </c>
      <c r="C342" s="28">
        <v>46238</v>
      </c>
      <c r="D342" s="29">
        <v>32</v>
      </c>
      <c r="E342" s="35">
        <v>2</v>
      </c>
      <c r="F342" s="36" t="s">
        <v>100</v>
      </c>
      <c r="G342" s="37" t="s">
        <v>107</v>
      </c>
      <c r="H342" s="37" t="s">
        <v>108</v>
      </c>
      <c r="I342" s="33"/>
      <c r="J342" s="34"/>
    </row>
    <row r="343" spans="1:10" x14ac:dyDescent="0.25">
      <c r="A343" s="26">
        <v>46238</v>
      </c>
      <c r="B343" s="27">
        <v>46238</v>
      </c>
      <c r="C343" s="28">
        <v>46238</v>
      </c>
      <c r="D343" s="29">
        <v>32</v>
      </c>
      <c r="E343" s="35">
        <v>3</v>
      </c>
      <c r="F343" s="36" t="s">
        <v>100</v>
      </c>
      <c r="G343" s="37" t="s">
        <v>105</v>
      </c>
      <c r="H343" s="37" t="s">
        <v>115</v>
      </c>
      <c r="I343" s="33"/>
      <c r="J343" s="34"/>
    </row>
    <row r="344" spans="1:10" x14ac:dyDescent="0.25">
      <c r="A344" s="26">
        <f t="shared" si="15"/>
        <v>46239</v>
      </c>
      <c r="B344" s="27">
        <f>+B341+1</f>
        <v>46239</v>
      </c>
      <c r="C344" s="28">
        <f t="shared" si="16"/>
        <v>46239</v>
      </c>
      <c r="D344" s="29">
        <f t="shared" si="17"/>
        <v>32</v>
      </c>
      <c r="E344" s="35">
        <v>2</v>
      </c>
      <c r="F344" s="36" t="s">
        <v>14</v>
      </c>
      <c r="G344" s="37" t="s">
        <v>15</v>
      </c>
      <c r="H344" s="37" t="s">
        <v>81</v>
      </c>
      <c r="I344" s="33"/>
      <c r="J344" s="34"/>
    </row>
    <row r="345" spans="1:10" x14ac:dyDescent="0.25">
      <c r="A345" s="26">
        <v>46239</v>
      </c>
      <c r="B345" s="27">
        <v>46239</v>
      </c>
      <c r="C345" s="28">
        <v>46239</v>
      </c>
      <c r="D345" s="29">
        <v>32</v>
      </c>
      <c r="E345" s="35">
        <v>5</v>
      </c>
      <c r="F345" s="36" t="s">
        <v>14</v>
      </c>
      <c r="G345" s="37" t="s">
        <v>25</v>
      </c>
      <c r="H345" s="37" t="s">
        <v>90</v>
      </c>
      <c r="I345" s="33"/>
      <c r="J345" s="34"/>
    </row>
    <row r="346" spans="1:10" x14ac:dyDescent="0.25">
      <c r="A346" s="26">
        <f t="shared" si="15"/>
        <v>46240</v>
      </c>
      <c r="B346" s="27">
        <f>+B344+1</f>
        <v>46240</v>
      </c>
      <c r="C346" s="28">
        <f t="shared" si="16"/>
        <v>46240</v>
      </c>
      <c r="D346" s="29">
        <f t="shared" si="17"/>
        <v>32</v>
      </c>
      <c r="E346" s="35">
        <v>2</v>
      </c>
      <c r="F346" s="36" t="s">
        <v>14</v>
      </c>
      <c r="G346" s="37" t="s">
        <v>15</v>
      </c>
      <c r="H346" s="37" t="s">
        <v>81</v>
      </c>
      <c r="I346" s="33"/>
      <c r="J346" s="34"/>
    </row>
    <row r="347" spans="1:10" x14ac:dyDescent="0.25">
      <c r="A347" s="26">
        <v>46240</v>
      </c>
      <c r="B347" s="27">
        <v>46240</v>
      </c>
      <c r="C347" s="28">
        <v>46240</v>
      </c>
      <c r="D347" s="29">
        <v>32</v>
      </c>
      <c r="E347" s="35">
        <v>5</v>
      </c>
      <c r="F347" s="36" t="s">
        <v>14</v>
      </c>
      <c r="G347" s="37" t="s">
        <v>25</v>
      </c>
      <c r="H347" s="37" t="s">
        <v>90</v>
      </c>
      <c r="I347" s="33"/>
      <c r="J347" s="34"/>
    </row>
    <row r="348" spans="1:10" x14ac:dyDescent="0.25">
      <c r="A348" s="26">
        <f t="shared" si="15"/>
        <v>46241</v>
      </c>
      <c r="B348" s="27">
        <f>+B346+1</f>
        <v>46241</v>
      </c>
      <c r="C348" s="28">
        <f t="shared" si="16"/>
        <v>46241</v>
      </c>
      <c r="D348" s="29">
        <f t="shared" si="17"/>
        <v>32</v>
      </c>
      <c r="E348" s="35">
        <v>2</v>
      </c>
      <c r="F348" s="36" t="s">
        <v>14</v>
      </c>
      <c r="G348" s="37" t="s">
        <v>15</v>
      </c>
      <c r="H348" s="37" t="s">
        <v>81</v>
      </c>
      <c r="I348" s="33"/>
      <c r="J348" s="34"/>
    </row>
    <row r="349" spans="1:10" x14ac:dyDescent="0.25">
      <c r="A349" s="26">
        <v>46241</v>
      </c>
      <c r="B349" s="27">
        <v>46241</v>
      </c>
      <c r="C349" s="28">
        <v>46241</v>
      </c>
      <c r="D349" s="29">
        <v>32</v>
      </c>
      <c r="E349" s="35">
        <v>4</v>
      </c>
      <c r="F349" s="36" t="s">
        <v>14</v>
      </c>
      <c r="G349" s="37" t="s">
        <v>25</v>
      </c>
      <c r="H349" s="37" t="s">
        <v>90</v>
      </c>
      <c r="I349" s="33"/>
      <c r="J349" s="34">
        <f>SUM(E338:E349)</f>
        <v>34</v>
      </c>
    </row>
    <row r="350" spans="1:10" x14ac:dyDescent="0.25">
      <c r="A350" s="26">
        <f t="shared" si="15"/>
        <v>46242</v>
      </c>
      <c r="B350" s="27">
        <f>+B348+1</f>
        <v>46242</v>
      </c>
      <c r="C350" s="28">
        <f t="shared" si="16"/>
        <v>46242</v>
      </c>
      <c r="D350" s="29">
        <f t="shared" si="17"/>
        <v>32</v>
      </c>
      <c r="E350" s="35"/>
      <c r="F350" s="36"/>
      <c r="G350" s="37"/>
      <c r="H350" s="37"/>
      <c r="I350" s="33"/>
      <c r="J350" s="34"/>
    </row>
    <row r="351" spans="1:10" x14ac:dyDescent="0.25">
      <c r="A351" s="26">
        <f t="shared" si="15"/>
        <v>46243</v>
      </c>
      <c r="B351" s="27">
        <f t="shared" si="18"/>
        <v>46243</v>
      </c>
      <c r="C351" s="28">
        <f t="shared" si="16"/>
        <v>46243</v>
      </c>
      <c r="D351" s="29">
        <f t="shared" si="17"/>
        <v>33</v>
      </c>
      <c r="E351" s="35"/>
      <c r="F351" s="36"/>
      <c r="G351" s="37"/>
      <c r="H351" s="37"/>
      <c r="I351" s="33"/>
      <c r="J351" s="34"/>
    </row>
    <row r="352" spans="1:10" x14ac:dyDescent="0.25">
      <c r="A352" s="26">
        <f t="shared" si="15"/>
        <v>46244</v>
      </c>
      <c r="B352" s="27">
        <f t="shared" si="18"/>
        <v>46244</v>
      </c>
      <c r="C352" s="28">
        <f t="shared" si="16"/>
        <v>46244</v>
      </c>
      <c r="D352" s="29">
        <f t="shared" si="17"/>
        <v>33</v>
      </c>
      <c r="E352" s="35">
        <v>3</v>
      </c>
      <c r="F352" s="36" t="s">
        <v>14</v>
      </c>
      <c r="G352" s="37" t="s">
        <v>15</v>
      </c>
      <c r="H352" s="37" t="s">
        <v>116</v>
      </c>
      <c r="I352" s="33"/>
      <c r="J352" s="34"/>
    </row>
    <row r="353" spans="1:10" x14ac:dyDescent="0.25">
      <c r="A353" s="26">
        <v>46244</v>
      </c>
      <c r="B353" s="27">
        <v>46244</v>
      </c>
      <c r="C353" s="28">
        <v>46244</v>
      </c>
      <c r="D353" s="29">
        <v>33</v>
      </c>
      <c r="E353" s="35">
        <v>4</v>
      </c>
      <c r="F353" s="36" t="s">
        <v>14</v>
      </c>
      <c r="G353" s="37" t="s">
        <v>25</v>
      </c>
      <c r="H353" s="37" t="s">
        <v>117</v>
      </c>
      <c r="I353" s="33"/>
      <c r="J353" s="34"/>
    </row>
    <row r="354" spans="1:10" x14ac:dyDescent="0.25">
      <c r="A354" s="26">
        <f t="shared" si="15"/>
        <v>46245</v>
      </c>
      <c r="B354" s="27">
        <f>+B352+1</f>
        <v>46245</v>
      </c>
      <c r="C354" s="28">
        <f t="shared" si="16"/>
        <v>46245</v>
      </c>
      <c r="D354" s="29">
        <f t="shared" si="17"/>
        <v>33</v>
      </c>
      <c r="E354" s="35">
        <v>2</v>
      </c>
      <c r="F354" s="36" t="s">
        <v>100</v>
      </c>
      <c r="G354" s="37" t="s">
        <v>105</v>
      </c>
      <c r="H354" s="37" t="s">
        <v>118</v>
      </c>
      <c r="I354" s="33"/>
      <c r="J354" s="34"/>
    </row>
    <row r="355" spans="1:10" x14ac:dyDescent="0.25">
      <c r="A355" s="26">
        <v>46245</v>
      </c>
      <c r="B355" s="27">
        <v>46245</v>
      </c>
      <c r="C355" s="28">
        <v>46245</v>
      </c>
      <c r="D355" s="29">
        <v>33</v>
      </c>
      <c r="E355" s="35">
        <v>2</v>
      </c>
      <c r="F355" s="36" t="s">
        <v>14</v>
      </c>
      <c r="G355" s="37" t="s">
        <v>20</v>
      </c>
      <c r="H355" s="37" t="s">
        <v>119</v>
      </c>
      <c r="I355" s="33"/>
      <c r="J355" s="34"/>
    </row>
    <row r="356" spans="1:10" x14ac:dyDescent="0.25">
      <c r="A356" s="26">
        <v>46245</v>
      </c>
      <c r="B356" s="27">
        <v>46245</v>
      </c>
      <c r="C356" s="28">
        <v>46245</v>
      </c>
      <c r="D356" s="29">
        <v>33</v>
      </c>
      <c r="E356" s="35">
        <v>3</v>
      </c>
      <c r="F356" s="36" t="s">
        <v>14</v>
      </c>
      <c r="G356" s="37" t="s">
        <v>25</v>
      </c>
      <c r="H356" s="37" t="s">
        <v>90</v>
      </c>
      <c r="I356" s="33"/>
      <c r="J356" s="34"/>
    </row>
    <row r="357" spans="1:10" x14ac:dyDescent="0.25">
      <c r="A357" s="26">
        <f t="shared" si="15"/>
        <v>46246</v>
      </c>
      <c r="B357" s="27">
        <f>+B354+1</f>
        <v>46246</v>
      </c>
      <c r="C357" s="28">
        <f t="shared" si="16"/>
        <v>46246</v>
      </c>
      <c r="D357" s="29">
        <f t="shared" si="17"/>
        <v>33</v>
      </c>
      <c r="E357" s="35">
        <v>5</v>
      </c>
      <c r="F357" s="36" t="s">
        <v>10</v>
      </c>
      <c r="G357" s="37" t="s">
        <v>31</v>
      </c>
      <c r="H357" s="37" t="s">
        <v>120</v>
      </c>
      <c r="I357" s="33"/>
      <c r="J357" s="34"/>
    </row>
    <row r="358" spans="1:10" x14ac:dyDescent="0.25">
      <c r="A358" s="26">
        <v>46246</v>
      </c>
      <c r="B358" s="27">
        <v>46246</v>
      </c>
      <c r="C358" s="28">
        <v>46246</v>
      </c>
      <c r="D358" s="29">
        <v>33</v>
      </c>
      <c r="E358" s="35">
        <v>2</v>
      </c>
      <c r="F358" s="36" t="s">
        <v>10</v>
      </c>
      <c r="G358" s="37" t="s">
        <v>31</v>
      </c>
      <c r="H358" s="37" t="s">
        <v>121</v>
      </c>
      <c r="I358" s="33"/>
      <c r="J358" s="34"/>
    </row>
    <row r="359" spans="1:10" x14ac:dyDescent="0.25">
      <c r="A359" s="26">
        <f t="shared" si="15"/>
        <v>46247</v>
      </c>
      <c r="B359" s="27">
        <f>+B357+1</f>
        <v>46247</v>
      </c>
      <c r="C359" s="28">
        <f t="shared" si="16"/>
        <v>46247</v>
      </c>
      <c r="D359" s="29">
        <f t="shared" si="17"/>
        <v>33</v>
      </c>
      <c r="E359" s="35">
        <v>7</v>
      </c>
      <c r="F359" s="36" t="s">
        <v>10</v>
      </c>
      <c r="G359" s="37" t="s">
        <v>11</v>
      </c>
      <c r="H359" s="37" t="s">
        <v>122</v>
      </c>
      <c r="I359" s="33"/>
      <c r="J359" s="34"/>
    </row>
    <row r="360" spans="1:10" x14ac:dyDescent="0.25">
      <c r="A360" s="26">
        <f t="shared" si="15"/>
        <v>46248</v>
      </c>
      <c r="B360" s="27">
        <f>+B359+1</f>
        <v>46248</v>
      </c>
      <c r="C360" s="28">
        <f t="shared" si="16"/>
        <v>46248</v>
      </c>
      <c r="D360" s="29">
        <f t="shared" si="17"/>
        <v>33</v>
      </c>
      <c r="E360" s="35">
        <v>1</v>
      </c>
      <c r="F360" s="36" t="s">
        <v>100</v>
      </c>
      <c r="G360" s="37" t="s">
        <v>107</v>
      </c>
      <c r="H360" s="37" t="s">
        <v>108</v>
      </c>
      <c r="I360" s="33"/>
      <c r="J360" s="34"/>
    </row>
    <row r="361" spans="1:10" x14ac:dyDescent="0.25">
      <c r="A361" s="26">
        <v>46248</v>
      </c>
      <c r="B361" s="27">
        <v>46248</v>
      </c>
      <c r="C361" s="28">
        <v>46248</v>
      </c>
      <c r="D361" s="29">
        <v>33</v>
      </c>
      <c r="E361" s="35">
        <v>2</v>
      </c>
      <c r="F361" s="36" t="s">
        <v>100</v>
      </c>
      <c r="G361" s="37" t="s">
        <v>105</v>
      </c>
      <c r="H361" s="37" t="s">
        <v>123</v>
      </c>
      <c r="I361" s="33"/>
      <c r="J361" s="34" t="s">
        <v>124</v>
      </c>
    </row>
    <row r="362" spans="1:10" x14ac:dyDescent="0.25">
      <c r="A362" s="26">
        <v>46248</v>
      </c>
      <c r="B362" s="27">
        <v>46248</v>
      </c>
      <c r="C362" s="28">
        <v>46248</v>
      </c>
      <c r="D362" s="29">
        <v>33</v>
      </c>
      <c r="E362" s="35">
        <v>3</v>
      </c>
      <c r="F362" s="36" t="s">
        <v>14</v>
      </c>
      <c r="G362" s="37" t="s">
        <v>15</v>
      </c>
      <c r="H362" s="37" t="s">
        <v>116</v>
      </c>
      <c r="I362" s="33"/>
      <c r="J362" s="34">
        <f>SUM(E352:E362)</f>
        <v>34</v>
      </c>
    </row>
    <row r="363" spans="1:10" x14ac:dyDescent="0.25">
      <c r="A363" s="26">
        <f t="shared" si="15"/>
        <v>46249</v>
      </c>
      <c r="B363" s="27">
        <f>+B360+1</f>
        <v>46249</v>
      </c>
      <c r="C363" s="28">
        <f t="shared" si="16"/>
        <v>46249</v>
      </c>
      <c r="D363" s="29">
        <f t="shared" si="17"/>
        <v>33</v>
      </c>
      <c r="E363" s="35"/>
      <c r="F363" s="36"/>
      <c r="G363" s="37"/>
      <c r="H363" s="37"/>
      <c r="I363" s="33"/>
      <c r="J363" s="34"/>
    </row>
    <row r="364" spans="1:10" x14ac:dyDescent="0.25">
      <c r="A364" s="26">
        <f t="shared" si="15"/>
        <v>46250</v>
      </c>
      <c r="B364" s="27">
        <f t="shared" si="18"/>
        <v>46250</v>
      </c>
      <c r="C364" s="28">
        <f t="shared" si="16"/>
        <v>46250</v>
      </c>
      <c r="D364" s="29">
        <f t="shared" si="17"/>
        <v>34</v>
      </c>
      <c r="E364" s="35"/>
      <c r="F364" s="36"/>
      <c r="G364" s="37"/>
      <c r="H364" s="37"/>
      <c r="I364" s="33"/>
      <c r="J364" s="34"/>
    </row>
    <row r="365" spans="1:10" x14ac:dyDescent="0.25">
      <c r="A365" s="26">
        <f t="shared" si="15"/>
        <v>46251</v>
      </c>
      <c r="B365" s="27">
        <f t="shared" si="18"/>
        <v>46251</v>
      </c>
      <c r="C365" s="28">
        <f t="shared" si="16"/>
        <v>46251</v>
      </c>
      <c r="D365" s="29">
        <f t="shared" si="17"/>
        <v>34</v>
      </c>
      <c r="E365" s="35">
        <v>5</v>
      </c>
      <c r="F365" s="36" t="s">
        <v>10</v>
      </c>
      <c r="G365" s="37" t="s">
        <v>31</v>
      </c>
      <c r="H365" s="37" t="s">
        <v>125</v>
      </c>
      <c r="I365" s="33"/>
      <c r="J365" s="34"/>
    </row>
    <row r="366" spans="1:10" x14ac:dyDescent="0.25">
      <c r="A366" s="26">
        <v>46251</v>
      </c>
      <c r="B366" s="27">
        <v>46251</v>
      </c>
      <c r="C366" s="28">
        <v>46251</v>
      </c>
      <c r="D366" s="29">
        <v>34</v>
      </c>
      <c r="E366" s="35">
        <v>1</v>
      </c>
      <c r="F366" s="36" t="s">
        <v>10</v>
      </c>
      <c r="G366" s="37" t="s">
        <v>11</v>
      </c>
      <c r="H366" s="37" t="s">
        <v>126</v>
      </c>
      <c r="I366" s="33"/>
      <c r="J366" s="34"/>
    </row>
    <row r="367" spans="1:10" x14ac:dyDescent="0.25">
      <c r="A367" s="26">
        <v>46251</v>
      </c>
      <c r="B367" s="27">
        <v>46251</v>
      </c>
      <c r="C367" s="28">
        <v>46251</v>
      </c>
      <c r="D367" s="29">
        <v>34</v>
      </c>
      <c r="E367" s="35">
        <v>1</v>
      </c>
      <c r="F367" s="36" t="s">
        <v>127</v>
      </c>
      <c r="G367" s="37" t="s">
        <v>128</v>
      </c>
      <c r="H367" s="37" t="s">
        <v>129</v>
      </c>
      <c r="I367" s="33"/>
      <c r="J367" s="34"/>
    </row>
    <row r="368" spans="1:10" x14ac:dyDescent="0.25">
      <c r="A368" s="26">
        <f t="shared" si="15"/>
        <v>46252</v>
      </c>
      <c r="B368" s="27">
        <f>+B365+1</f>
        <v>46252</v>
      </c>
      <c r="C368" s="28">
        <f t="shared" si="16"/>
        <v>46252</v>
      </c>
      <c r="D368" s="29">
        <f t="shared" si="17"/>
        <v>34</v>
      </c>
      <c r="E368" s="35">
        <v>7</v>
      </c>
      <c r="F368" s="36" t="s">
        <v>127</v>
      </c>
      <c r="G368" s="37" t="s">
        <v>128</v>
      </c>
      <c r="H368" s="37" t="s">
        <v>129</v>
      </c>
      <c r="I368" s="33"/>
      <c r="J368" s="34"/>
    </row>
    <row r="369" spans="1:10" x14ac:dyDescent="0.25">
      <c r="A369" s="26">
        <f t="shared" si="15"/>
        <v>46253</v>
      </c>
      <c r="B369" s="27">
        <f>+B368+1</f>
        <v>46253</v>
      </c>
      <c r="C369" s="28">
        <f t="shared" si="16"/>
        <v>46253</v>
      </c>
      <c r="D369" s="29">
        <f t="shared" si="17"/>
        <v>34</v>
      </c>
      <c r="E369" s="35">
        <v>7</v>
      </c>
      <c r="F369" s="36" t="s">
        <v>127</v>
      </c>
      <c r="G369" s="37" t="s">
        <v>128</v>
      </c>
      <c r="H369" s="37" t="s">
        <v>129</v>
      </c>
      <c r="I369" s="33"/>
      <c r="J369" s="34"/>
    </row>
    <row r="370" spans="1:10" x14ac:dyDescent="0.25">
      <c r="A370" s="26">
        <f t="shared" si="15"/>
        <v>46254</v>
      </c>
      <c r="B370" s="27">
        <f t="shared" si="18"/>
        <v>46254</v>
      </c>
      <c r="C370" s="28">
        <f t="shared" si="16"/>
        <v>46254</v>
      </c>
      <c r="D370" s="29">
        <f t="shared" si="17"/>
        <v>34</v>
      </c>
      <c r="E370" s="35">
        <v>7</v>
      </c>
      <c r="F370" s="36"/>
      <c r="G370" s="37"/>
      <c r="H370" s="37"/>
      <c r="I370" s="33"/>
      <c r="J370" s="34"/>
    </row>
    <row r="371" spans="1:10" x14ac:dyDescent="0.25">
      <c r="A371" s="26">
        <f t="shared" si="15"/>
        <v>46255</v>
      </c>
      <c r="B371" s="27">
        <f t="shared" si="18"/>
        <v>46255</v>
      </c>
      <c r="C371" s="28">
        <f t="shared" si="16"/>
        <v>46255</v>
      </c>
      <c r="D371" s="29">
        <f t="shared" si="17"/>
        <v>34</v>
      </c>
      <c r="E371" s="35">
        <v>6</v>
      </c>
      <c r="F371" s="36"/>
      <c r="G371" s="37"/>
      <c r="H371" s="37"/>
      <c r="I371" s="33"/>
      <c r="J371" s="34">
        <f>SUM(E365:E371)</f>
        <v>34</v>
      </c>
    </row>
    <row r="372" spans="1:10" x14ac:dyDescent="0.25">
      <c r="A372" s="26">
        <f t="shared" si="15"/>
        <v>46256</v>
      </c>
      <c r="B372" s="27">
        <f t="shared" si="18"/>
        <v>46256</v>
      </c>
      <c r="C372" s="28">
        <f t="shared" si="16"/>
        <v>46256</v>
      </c>
      <c r="D372" s="29">
        <f t="shared" si="17"/>
        <v>34</v>
      </c>
      <c r="E372" s="35"/>
      <c r="F372" s="36"/>
      <c r="G372" s="37"/>
      <c r="H372" s="37"/>
      <c r="I372" s="33"/>
      <c r="J372" s="34"/>
    </row>
    <row r="373" spans="1:10" x14ac:dyDescent="0.25">
      <c r="A373" s="26">
        <f t="shared" si="15"/>
        <v>46257</v>
      </c>
      <c r="B373" s="27">
        <f t="shared" si="18"/>
        <v>46257</v>
      </c>
      <c r="C373" s="28">
        <f t="shared" si="16"/>
        <v>46257</v>
      </c>
      <c r="D373" s="29">
        <f t="shared" si="17"/>
        <v>35</v>
      </c>
      <c r="E373" s="35"/>
      <c r="F373" s="36"/>
      <c r="G373" s="37"/>
      <c r="H373" s="37"/>
      <c r="I373" s="33"/>
      <c r="J373" s="34"/>
    </row>
    <row r="374" spans="1:10" x14ac:dyDescent="0.25">
      <c r="A374" s="26">
        <f t="shared" ref="A374:A437" si="19">B374</f>
        <v>46258</v>
      </c>
      <c r="B374" s="27">
        <f t="shared" si="18"/>
        <v>46258</v>
      </c>
      <c r="C374" s="28">
        <f t="shared" ref="C374:C437" si="20">B374</f>
        <v>46258</v>
      </c>
      <c r="D374" s="29">
        <f t="shared" ref="D374:D437" si="21">WEEKNUM(A374)</f>
        <v>35</v>
      </c>
      <c r="E374" s="35">
        <v>7</v>
      </c>
      <c r="F374" s="33"/>
      <c r="G374" s="38"/>
      <c r="H374" s="38"/>
      <c r="I374" s="33"/>
      <c r="J374" s="34"/>
    </row>
    <row r="375" spans="1:10" x14ac:dyDescent="0.25">
      <c r="A375" s="26">
        <f t="shared" si="19"/>
        <v>46259</v>
      </c>
      <c r="B375" s="27">
        <f t="shared" si="18"/>
        <v>46259</v>
      </c>
      <c r="C375" s="28">
        <f t="shared" si="20"/>
        <v>46259</v>
      </c>
      <c r="D375" s="29">
        <f t="shared" si="21"/>
        <v>35</v>
      </c>
      <c r="E375" s="35">
        <v>7</v>
      </c>
      <c r="F375" s="36"/>
      <c r="G375" s="37"/>
      <c r="H375" s="37"/>
      <c r="I375" s="33"/>
      <c r="J375" s="34"/>
    </row>
    <row r="376" spans="1:10" x14ac:dyDescent="0.25">
      <c r="A376" s="26">
        <f t="shared" si="19"/>
        <v>46260</v>
      </c>
      <c r="B376" s="27">
        <f t="shared" si="18"/>
        <v>46260</v>
      </c>
      <c r="C376" s="28">
        <f t="shared" si="20"/>
        <v>46260</v>
      </c>
      <c r="D376" s="29">
        <f t="shared" si="21"/>
        <v>35</v>
      </c>
      <c r="E376" s="35">
        <v>7</v>
      </c>
      <c r="F376" s="36"/>
      <c r="G376" s="37"/>
      <c r="H376" s="37"/>
      <c r="I376" s="33"/>
      <c r="J376" s="34"/>
    </row>
    <row r="377" spans="1:10" x14ac:dyDescent="0.25">
      <c r="A377" s="26">
        <f t="shared" si="19"/>
        <v>46261</v>
      </c>
      <c r="B377" s="27">
        <f t="shared" si="18"/>
        <v>46261</v>
      </c>
      <c r="C377" s="28">
        <f t="shared" si="20"/>
        <v>46261</v>
      </c>
      <c r="D377" s="29">
        <f t="shared" si="21"/>
        <v>35</v>
      </c>
      <c r="E377" s="35">
        <v>7</v>
      </c>
      <c r="F377" s="36"/>
      <c r="G377" s="37"/>
      <c r="H377" s="37"/>
      <c r="I377" s="33"/>
      <c r="J377" s="34"/>
    </row>
    <row r="378" spans="1:10" x14ac:dyDescent="0.25">
      <c r="A378" s="26">
        <f t="shared" si="19"/>
        <v>46262</v>
      </c>
      <c r="B378" s="27">
        <f t="shared" si="18"/>
        <v>46262</v>
      </c>
      <c r="C378" s="28">
        <f t="shared" si="20"/>
        <v>46262</v>
      </c>
      <c r="D378" s="29">
        <f t="shared" si="21"/>
        <v>35</v>
      </c>
      <c r="E378" s="35">
        <v>6</v>
      </c>
      <c r="F378" s="36"/>
      <c r="G378" s="37"/>
      <c r="H378" s="37"/>
      <c r="I378" s="33"/>
      <c r="J378" s="34">
        <f>SUM(E374:E378)</f>
        <v>34</v>
      </c>
    </row>
    <row r="379" spans="1:10" x14ac:dyDescent="0.25">
      <c r="A379" s="26">
        <f t="shared" si="19"/>
        <v>46263</v>
      </c>
      <c r="B379" s="27">
        <f t="shared" si="18"/>
        <v>46263</v>
      </c>
      <c r="C379" s="28">
        <f t="shared" si="20"/>
        <v>46263</v>
      </c>
      <c r="D379" s="29">
        <f t="shared" si="21"/>
        <v>35</v>
      </c>
      <c r="E379" s="35"/>
      <c r="F379" s="36"/>
      <c r="G379" s="37"/>
      <c r="H379" s="37"/>
      <c r="I379" s="33"/>
      <c r="J379" s="34"/>
    </row>
    <row r="380" spans="1:10" x14ac:dyDescent="0.25">
      <c r="A380" s="26">
        <f t="shared" si="19"/>
        <v>46264</v>
      </c>
      <c r="B380" s="27">
        <f t="shared" si="18"/>
        <v>46264</v>
      </c>
      <c r="C380" s="28">
        <f t="shared" si="20"/>
        <v>46264</v>
      </c>
      <c r="D380" s="29">
        <f t="shared" si="21"/>
        <v>36</v>
      </c>
      <c r="E380" s="35"/>
      <c r="F380" s="33"/>
      <c r="G380" s="38"/>
      <c r="H380" s="38"/>
      <c r="I380" s="33"/>
      <c r="J380" s="34"/>
    </row>
    <row r="381" spans="1:10" x14ac:dyDescent="0.25">
      <c r="A381" s="26">
        <f t="shared" si="19"/>
        <v>46265</v>
      </c>
      <c r="B381" s="27">
        <f t="shared" si="18"/>
        <v>46265</v>
      </c>
      <c r="C381" s="28">
        <f t="shared" si="20"/>
        <v>46265</v>
      </c>
      <c r="D381" s="29">
        <f t="shared" si="21"/>
        <v>36</v>
      </c>
      <c r="E381" s="35"/>
      <c r="F381" s="36"/>
      <c r="G381" s="37"/>
      <c r="H381" s="37"/>
      <c r="I381" s="33"/>
      <c r="J381" s="34"/>
    </row>
    <row r="382" spans="1:10" x14ac:dyDescent="0.25">
      <c r="A382" s="26">
        <f t="shared" si="19"/>
        <v>46266</v>
      </c>
      <c r="B382" s="27">
        <f t="shared" si="18"/>
        <v>46266</v>
      </c>
      <c r="C382" s="28">
        <f t="shared" si="20"/>
        <v>46266</v>
      </c>
      <c r="D382" s="29">
        <f t="shared" si="21"/>
        <v>36</v>
      </c>
      <c r="E382" s="35"/>
      <c r="F382" s="36"/>
      <c r="G382" s="37"/>
      <c r="H382" s="37"/>
      <c r="I382" s="33"/>
      <c r="J382" s="34"/>
    </row>
    <row r="383" spans="1:10" x14ac:dyDescent="0.25">
      <c r="A383" s="26">
        <f t="shared" si="19"/>
        <v>46267</v>
      </c>
      <c r="B383" s="27">
        <f t="shared" si="18"/>
        <v>46267</v>
      </c>
      <c r="C383" s="28">
        <f t="shared" si="20"/>
        <v>46267</v>
      </c>
      <c r="D383" s="29">
        <f t="shared" si="21"/>
        <v>36</v>
      </c>
      <c r="E383" s="35"/>
      <c r="F383" s="36"/>
      <c r="G383" s="37"/>
      <c r="H383" s="37"/>
      <c r="I383" s="33"/>
      <c r="J383" s="34"/>
    </row>
    <row r="384" spans="1:10" x14ac:dyDescent="0.25">
      <c r="A384" s="26">
        <f t="shared" si="19"/>
        <v>46268</v>
      </c>
      <c r="B384" s="27">
        <f t="shared" si="18"/>
        <v>46268</v>
      </c>
      <c r="C384" s="28">
        <f t="shared" si="20"/>
        <v>46268</v>
      </c>
      <c r="D384" s="29">
        <f t="shared" si="21"/>
        <v>36</v>
      </c>
      <c r="E384" s="35"/>
      <c r="F384" s="36"/>
      <c r="G384" s="37"/>
      <c r="H384" s="37"/>
      <c r="I384" s="33"/>
      <c r="J384" s="34"/>
    </row>
    <row r="385" spans="1:10" x14ac:dyDescent="0.25">
      <c r="A385" s="26">
        <f t="shared" si="19"/>
        <v>46269</v>
      </c>
      <c r="B385" s="27">
        <f t="shared" si="18"/>
        <v>46269</v>
      </c>
      <c r="C385" s="28">
        <f t="shared" si="20"/>
        <v>46269</v>
      </c>
      <c r="D385" s="29">
        <f t="shared" si="21"/>
        <v>36</v>
      </c>
      <c r="E385" s="35"/>
      <c r="F385" s="36"/>
      <c r="G385" s="37"/>
      <c r="H385" s="37"/>
      <c r="I385" s="33"/>
      <c r="J385" s="34"/>
    </row>
    <row r="386" spans="1:10" x14ac:dyDescent="0.25">
      <c r="A386" s="26">
        <f t="shared" si="19"/>
        <v>46270</v>
      </c>
      <c r="B386" s="27">
        <f t="shared" si="18"/>
        <v>46270</v>
      </c>
      <c r="C386" s="28">
        <f t="shared" si="20"/>
        <v>46270</v>
      </c>
      <c r="D386" s="29">
        <f t="shared" si="21"/>
        <v>36</v>
      </c>
      <c r="E386" s="35"/>
      <c r="F386" s="36"/>
      <c r="G386" s="37"/>
      <c r="H386" s="37"/>
      <c r="I386" s="33"/>
      <c r="J386" s="34"/>
    </row>
    <row r="387" spans="1:10" x14ac:dyDescent="0.25">
      <c r="A387" s="26">
        <f t="shared" si="19"/>
        <v>46271</v>
      </c>
      <c r="B387" s="27">
        <f t="shared" si="18"/>
        <v>46271</v>
      </c>
      <c r="C387" s="28">
        <f t="shared" si="20"/>
        <v>46271</v>
      </c>
      <c r="D387" s="29">
        <f t="shared" si="21"/>
        <v>37</v>
      </c>
      <c r="E387" s="35"/>
      <c r="F387" s="33"/>
      <c r="G387" s="38"/>
      <c r="H387" s="38"/>
      <c r="I387" s="33"/>
      <c r="J387" s="34"/>
    </row>
    <row r="388" spans="1:10" x14ac:dyDescent="0.25">
      <c r="A388" s="26">
        <f t="shared" si="19"/>
        <v>46272</v>
      </c>
      <c r="B388" s="27">
        <f t="shared" si="18"/>
        <v>46272</v>
      </c>
      <c r="C388" s="28">
        <f t="shared" si="20"/>
        <v>46272</v>
      </c>
      <c r="D388" s="29">
        <f t="shared" si="21"/>
        <v>37</v>
      </c>
      <c r="E388" s="35"/>
      <c r="F388" s="36"/>
      <c r="G388" s="37"/>
      <c r="H388" s="37"/>
      <c r="I388" s="33"/>
      <c r="J388" s="34"/>
    </row>
    <row r="389" spans="1:10" x14ac:dyDescent="0.25">
      <c r="A389" s="26">
        <f t="shared" si="19"/>
        <v>46273</v>
      </c>
      <c r="B389" s="27">
        <f t="shared" si="18"/>
        <v>46273</v>
      </c>
      <c r="C389" s="28">
        <f t="shared" si="20"/>
        <v>46273</v>
      </c>
      <c r="D389" s="29">
        <f t="shared" si="21"/>
        <v>37</v>
      </c>
      <c r="E389" s="35"/>
      <c r="F389" s="36"/>
      <c r="G389" s="37"/>
      <c r="H389" s="37"/>
      <c r="I389" s="33"/>
      <c r="J389" s="34"/>
    </row>
    <row r="390" spans="1:10" x14ac:dyDescent="0.25">
      <c r="A390" s="26">
        <f t="shared" si="19"/>
        <v>46274</v>
      </c>
      <c r="B390" s="27">
        <f t="shared" si="18"/>
        <v>46274</v>
      </c>
      <c r="C390" s="28">
        <f t="shared" si="20"/>
        <v>46274</v>
      </c>
      <c r="D390" s="29">
        <f t="shared" si="21"/>
        <v>37</v>
      </c>
      <c r="E390" s="35"/>
      <c r="F390" s="36"/>
      <c r="G390" s="37"/>
      <c r="H390" s="37"/>
      <c r="I390" s="33"/>
      <c r="J390" s="34"/>
    </row>
    <row r="391" spans="1:10" x14ac:dyDescent="0.25">
      <c r="A391" s="26">
        <f t="shared" si="19"/>
        <v>46275</v>
      </c>
      <c r="B391" s="27">
        <f t="shared" si="18"/>
        <v>46275</v>
      </c>
      <c r="C391" s="28">
        <f t="shared" si="20"/>
        <v>46275</v>
      </c>
      <c r="D391" s="29">
        <f t="shared" si="21"/>
        <v>37</v>
      </c>
      <c r="E391" s="35"/>
      <c r="F391" s="36"/>
      <c r="G391" s="37"/>
      <c r="H391" s="37"/>
      <c r="I391" s="33"/>
      <c r="J391" s="34"/>
    </row>
    <row r="392" spans="1:10" x14ac:dyDescent="0.25">
      <c r="A392" s="26">
        <f t="shared" si="19"/>
        <v>46276</v>
      </c>
      <c r="B392" s="27">
        <f t="shared" si="18"/>
        <v>46276</v>
      </c>
      <c r="C392" s="28">
        <f t="shared" si="20"/>
        <v>46276</v>
      </c>
      <c r="D392" s="29">
        <f t="shared" si="21"/>
        <v>37</v>
      </c>
      <c r="E392" s="35"/>
      <c r="F392" s="36"/>
      <c r="G392" s="37"/>
      <c r="H392" s="37"/>
      <c r="I392" s="33"/>
      <c r="J392" s="34"/>
    </row>
    <row r="393" spans="1:10" x14ac:dyDescent="0.25">
      <c r="A393" s="26">
        <f t="shared" si="19"/>
        <v>46277</v>
      </c>
      <c r="B393" s="27">
        <f t="shared" si="18"/>
        <v>46277</v>
      </c>
      <c r="C393" s="28">
        <f t="shared" si="20"/>
        <v>46277</v>
      </c>
      <c r="D393" s="29">
        <f t="shared" si="21"/>
        <v>37</v>
      </c>
      <c r="E393" s="35"/>
      <c r="F393" s="36"/>
      <c r="G393" s="37"/>
      <c r="H393" s="37"/>
      <c r="I393" s="33"/>
      <c r="J393" s="34"/>
    </row>
    <row r="394" spans="1:10" x14ac:dyDescent="0.25">
      <c r="A394" s="26">
        <f t="shared" si="19"/>
        <v>46278</v>
      </c>
      <c r="B394" s="27">
        <f t="shared" si="18"/>
        <v>46278</v>
      </c>
      <c r="C394" s="28">
        <f t="shared" si="20"/>
        <v>46278</v>
      </c>
      <c r="D394" s="29">
        <f t="shared" si="21"/>
        <v>38</v>
      </c>
      <c r="E394" s="35"/>
      <c r="F394" s="33"/>
      <c r="G394" s="38"/>
      <c r="H394" s="38"/>
      <c r="I394" s="33"/>
      <c r="J394" s="34"/>
    </row>
    <row r="395" spans="1:10" x14ac:dyDescent="0.25">
      <c r="A395" s="26">
        <f t="shared" si="19"/>
        <v>46279</v>
      </c>
      <c r="B395" s="27">
        <f t="shared" si="18"/>
        <v>46279</v>
      </c>
      <c r="C395" s="28">
        <f t="shared" si="20"/>
        <v>46279</v>
      </c>
      <c r="D395" s="29">
        <f t="shared" si="21"/>
        <v>38</v>
      </c>
      <c r="E395" s="35"/>
      <c r="F395" s="36"/>
      <c r="G395" s="37"/>
      <c r="H395" s="37"/>
      <c r="I395" s="33"/>
      <c r="J395" s="34"/>
    </row>
    <row r="396" spans="1:10" x14ac:dyDescent="0.25">
      <c r="A396" s="26">
        <f t="shared" si="19"/>
        <v>46280</v>
      </c>
      <c r="B396" s="27">
        <f t="shared" si="18"/>
        <v>46280</v>
      </c>
      <c r="C396" s="28">
        <f t="shared" si="20"/>
        <v>46280</v>
      </c>
      <c r="D396" s="29">
        <f t="shared" si="21"/>
        <v>38</v>
      </c>
      <c r="E396" s="35"/>
      <c r="F396" s="36"/>
      <c r="G396" s="37"/>
      <c r="H396" s="37"/>
      <c r="I396" s="33"/>
      <c r="J396" s="34"/>
    </row>
    <row r="397" spans="1:10" x14ac:dyDescent="0.25">
      <c r="A397" s="26">
        <f t="shared" si="19"/>
        <v>46281</v>
      </c>
      <c r="B397" s="27">
        <f t="shared" si="18"/>
        <v>46281</v>
      </c>
      <c r="C397" s="28">
        <f t="shared" si="20"/>
        <v>46281</v>
      </c>
      <c r="D397" s="29">
        <f t="shared" si="21"/>
        <v>38</v>
      </c>
      <c r="E397" s="35"/>
      <c r="F397" s="36"/>
      <c r="G397" s="37"/>
      <c r="H397" s="37"/>
      <c r="I397" s="33"/>
      <c r="J397" s="34"/>
    </row>
    <row r="398" spans="1:10" x14ac:dyDescent="0.25">
      <c r="A398" s="26">
        <f t="shared" si="19"/>
        <v>46282</v>
      </c>
      <c r="B398" s="27">
        <f t="shared" si="18"/>
        <v>46282</v>
      </c>
      <c r="C398" s="28">
        <f t="shared" si="20"/>
        <v>46282</v>
      </c>
      <c r="D398" s="29">
        <f t="shared" si="21"/>
        <v>38</v>
      </c>
      <c r="E398" s="35"/>
      <c r="F398" s="36"/>
      <c r="G398" s="37"/>
      <c r="H398" s="37"/>
      <c r="I398" s="33"/>
      <c r="J398" s="34"/>
    </row>
    <row r="399" spans="1:10" x14ac:dyDescent="0.25">
      <c r="A399" s="26">
        <f t="shared" si="19"/>
        <v>46283</v>
      </c>
      <c r="B399" s="27">
        <f t="shared" si="18"/>
        <v>46283</v>
      </c>
      <c r="C399" s="28">
        <f t="shared" si="20"/>
        <v>46283</v>
      </c>
      <c r="D399" s="29">
        <f t="shared" si="21"/>
        <v>38</v>
      </c>
      <c r="E399" s="35"/>
      <c r="F399" s="36"/>
      <c r="G399" s="37"/>
      <c r="H399" s="37"/>
      <c r="I399" s="33"/>
      <c r="J399" s="34"/>
    </row>
    <row r="400" spans="1:10" x14ac:dyDescent="0.25">
      <c r="A400" s="26">
        <f t="shared" si="19"/>
        <v>46284</v>
      </c>
      <c r="B400" s="27">
        <f t="shared" si="18"/>
        <v>46284</v>
      </c>
      <c r="C400" s="28">
        <f t="shared" si="20"/>
        <v>46284</v>
      </c>
      <c r="D400" s="29">
        <f t="shared" si="21"/>
        <v>38</v>
      </c>
      <c r="E400" s="35"/>
      <c r="F400" s="36"/>
      <c r="G400" s="37"/>
      <c r="H400" s="37"/>
      <c r="I400" s="33"/>
      <c r="J400" s="34"/>
    </row>
    <row r="401" spans="1:10" x14ac:dyDescent="0.25">
      <c r="A401" s="26">
        <f t="shared" si="19"/>
        <v>46285</v>
      </c>
      <c r="B401" s="27">
        <f t="shared" ref="B401:B464" si="22">+B400+1</f>
        <v>46285</v>
      </c>
      <c r="C401" s="28">
        <f t="shared" si="20"/>
        <v>46285</v>
      </c>
      <c r="D401" s="29">
        <f t="shared" si="21"/>
        <v>39</v>
      </c>
      <c r="E401" s="35"/>
      <c r="F401" s="33"/>
      <c r="G401" s="38"/>
      <c r="H401" s="38"/>
      <c r="I401" s="33"/>
      <c r="J401" s="34"/>
    </row>
    <row r="402" spans="1:10" x14ac:dyDescent="0.25">
      <c r="A402" s="26">
        <f t="shared" si="19"/>
        <v>46286</v>
      </c>
      <c r="B402" s="27">
        <f t="shared" si="22"/>
        <v>46286</v>
      </c>
      <c r="C402" s="28">
        <f t="shared" si="20"/>
        <v>46286</v>
      </c>
      <c r="D402" s="29">
        <f t="shared" si="21"/>
        <v>39</v>
      </c>
      <c r="E402" s="35"/>
      <c r="F402" s="36"/>
      <c r="G402" s="37"/>
      <c r="H402" s="37"/>
      <c r="I402" s="33"/>
      <c r="J402" s="34"/>
    </row>
    <row r="403" spans="1:10" x14ac:dyDescent="0.25">
      <c r="A403" s="26">
        <f t="shared" si="19"/>
        <v>46287</v>
      </c>
      <c r="B403" s="27">
        <f t="shared" si="22"/>
        <v>46287</v>
      </c>
      <c r="C403" s="28">
        <f t="shared" si="20"/>
        <v>46287</v>
      </c>
      <c r="D403" s="29">
        <f t="shared" si="21"/>
        <v>39</v>
      </c>
      <c r="E403" s="35"/>
      <c r="F403" s="36"/>
      <c r="G403" s="37"/>
      <c r="H403" s="37"/>
      <c r="I403" s="33"/>
      <c r="J403" s="34"/>
    </row>
    <row r="404" spans="1:10" x14ac:dyDescent="0.25">
      <c r="A404" s="26">
        <f t="shared" si="19"/>
        <v>46288</v>
      </c>
      <c r="B404" s="27">
        <f t="shared" si="22"/>
        <v>46288</v>
      </c>
      <c r="C404" s="28">
        <f t="shared" si="20"/>
        <v>46288</v>
      </c>
      <c r="D404" s="29">
        <f t="shared" si="21"/>
        <v>39</v>
      </c>
      <c r="E404" s="35"/>
      <c r="F404" s="36"/>
      <c r="G404" s="37"/>
      <c r="H404" s="37"/>
      <c r="I404" s="33"/>
      <c r="J404" s="34"/>
    </row>
    <row r="405" spans="1:10" x14ac:dyDescent="0.25">
      <c r="A405" s="26">
        <f t="shared" si="19"/>
        <v>46289</v>
      </c>
      <c r="B405" s="27">
        <f t="shared" si="22"/>
        <v>46289</v>
      </c>
      <c r="C405" s="28">
        <f t="shared" si="20"/>
        <v>46289</v>
      </c>
      <c r="D405" s="29">
        <f t="shared" si="21"/>
        <v>39</v>
      </c>
      <c r="E405" s="35"/>
      <c r="F405" s="36"/>
      <c r="G405" s="37"/>
      <c r="H405" s="37"/>
      <c r="I405" s="33"/>
      <c r="J405" s="34"/>
    </row>
    <row r="406" spans="1:10" x14ac:dyDescent="0.25">
      <c r="A406" s="26">
        <f t="shared" si="19"/>
        <v>46290</v>
      </c>
      <c r="B406" s="27">
        <f t="shared" si="22"/>
        <v>46290</v>
      </c>
      <c r="C406" s="28">
        <f t="shared" si="20"/>
        <v>46290</v>
      </c>
      <c r="D406" s="29">
        <f t="shared" si="21"/>
        <v>39</v>
      </c>
      <c r="E406" s="35"/>
      <c r="F406" s="36"/>
      <c r="G406" s="37"/>
      <c r="H406" s="37"/>
      <c r="I406" s="33"/>
      <c r="J406" s="34"/>
    </row>
    <row r="407" spans="1:10" x14ac:dyDescent="0.25">
      <c r="A407" s="26">
        <f t="shared" si="19"/>
        <v>46291</v>
      </c>
      <c r="B407" s="27">
        <f t="shared" si="22"/>
        <v>46291</v>
      </c>
      <c r="C407" s="28">
        <f t="shared" si="20"/>
        <v>46291</v>
      </c>
      <c r="D407" s="29">
        <f t="shared" si="21"/>
        <v>39</v>
      </c>
      <c r="E407" s="35"/>
      <c r="F407" s="36"/>
      <c r="G407" s="37"/>
      <c r="H407" s="37"/>
      <c r="I407" s="33"/>
      <c r="J407" s="34"/>
    </row>
    <row r="408" spans="1:10" x14ac:dyDescent="0.25">
      <c r="A408" s="26">
        <f t="shared" si="19"/>
        <v>46292</v>
      </c>
      <c r="B408" s="27">
        <f t="shared" si="22"/>
        <v>46292</v>
      </c>
      <c r="C408" s="28">
        <f t="shared" si="20"/>
        <v>46292</v>
      </c>
      <c r="D408" s="29">
        <f t="shared" si="21"/>
        <v>40</v>
      </c>
      <c r="E408" s="35"/>
      <c r="F408" s="33"/>
      <c r="G408" s="38"/>
      <c r="H408" s="38"/>
      <c r="I408" s="33"/>
      <c r="J408" s="34"/>
    </row>
    <row r="409" spans="1:10" x14ac:dyDescent="0.25">
      <c r="A409" s="26">
        <f t="shared" si="19"/>
        <v>46293</v>
      </c>
      <c r="B409" s="27">
        <f t="shared" si="22"/>
        <v>46293</v>
      </c>
      <c r="C409" s="28">
        <f t="shared" si="20"/>
        <v>46293</v>
      </c>
      <c r="D409" s="29">
        <f t="shared" si="21"/>
        <v>40</v>
      </c>
      <c r="E409" s="35"/>
      <c r="F409" s="36"/>
      <c r="G409" s="37"/>
      <c r="H409" s="37"/>
      <c r="I409" s="33"/>
      <c r="J409" s="34"/>
    </row>
    <row r="410" spans="1:10" x14ac:dyDescent="0.25">
      <c r="A410" s="26">
        <f t="shared" si="19"/>
        <v>46294</v>
      </c>
      <c r="B410" s="27">
        <f t="shared" si="22"/>
        <v>46294</v>
      </c>
      <c r="C410" s="28">
        <f t="shared" si="20"/>
        <v>46294</v>
      </c>
      <c r="D410" s="29">
        <f t="shared" si="21"/>
        <v>40</v>
      </c>
      <c r="E410" s="35"/>
      <c r="F410" s="36"/>
      <c r="G410" s="37"/>
      <c r="H410" s="37"/>
      <c r="I410" s="33"/>
      <c r="J410" s="34"/>
    </row>
    <row r="411" spans="1:10" x14ac:dyDescent="0.25">
      <c r="A411" s="26">
        <f t="shared" si="19"/>
        <v>46295</v>
      </c>
      <c r="B411" s="27">
        <f t="shared" si="22"/>
        <v>46295</v>
      </c>
      <c r="C411" s="28">
        <f t="shared" si="20"/>
        <v>46295</v>
      </c>
      <c r="D411" s="29">
        <f t="shared" si="21"/>
        <v>40</v>
      </c>
      <c r="E411" s="35"/>
      <c r="F411" s="36"/>
      <c r="G411" s="37"/>
      <c r="H411" s="37"/>
      <c r="I411" s="33"/>
      <c r="J411" s="34"/>
    </row>
    <row r="412" spans="1:10" x14ac:dyDescent="0.25">
      <c r="A412" s="26">
        <f t="shared" si="19"/>
        <v>46296</v>
      </c>
      <c r="B412" s="27">
        <f t="shared" si="22"/>
        <v>46296</v>
      </c>
      <c r="C412" s="28">
        <f t="shared" si="20"/>
        <v>46296</v>
      </c>
      <c r="D412" s="29">
        <f t="shared" si="21"/>
        <v>40</v>
      </c>
      <c r="E412" s="35"/>
      <c r="F412" s="36"/>
      <c r="G412" s="37"/>
      <c r="H412" s="37"/>
      <c r="I412" s="33"/>
      <c r="J412" s="34"/>
    </row>
    <row r="413" spans="1:10" x14ac:dyDescent="0.25">
      <c r="A413" s="26">
        <f t="shared" si="19"/>
        <v>46297</v>
      </c>
      <c r="B413" s="27">
        <f t="shared" si="22"/>
        <v>46297</v>
      </c>
      <c r="C413" s="28">
        <f t="shared" si="20"/>
        <v>46297</v>
      </c>
      <c r="D413" s="29">
        <f t="shared" si="21"/>
        <v>40</v>
      </c>
      <c r="E413" s="35"/>
      <c r="F413" s="36"/>
      <c r="G413" s="37"/>
      <c r="H413" s="37"/>
      <c r="I413" s="33"/>
      <c r="J413" s="34"/>
    </row>
    <row r="414" spans="1:10" x14ac:dyDescent="0.25">
      <c r="A414" s="26">
        <f t="shared" si="19"/>
        <v>46298</v>
      </c>
      <c r="B414" s="27">
        <f t="shared" si="22"/>
        <v>46298</v>
      </c>
      <c r="C414" s="28">
        <f t="shared" si="20"/>
        <v>46298</v>
      </c>
      <c r="D414" s="29">
        <f t="shared" si="21"/>
        <v>40</v>
      </c>
      <c r="E414" s="35"/>
      <c r="F414" s="33"/>
      <c r="G414" s="38"/>
      <c r="H414" s="38"/>
      <c r="I414" s="33"/>
      <c r="J414" s="34"/>
    </row>
    <row r="415" spans="1:10" x14ac:dyDescent="0.25">
      <c r="A415" s="26">
        <f t="shared" si="19"/>
        <v>46299</v>
      </c>
      <c r="B415" s="27">
        <f t="shared" si="22"/>
        <v>46299</v>
      </c>
      <c r="C415" s="28">
        <f t="shared" si="20"/>
        <v>46299</v>
      </c>
      <c r="D415" s="29">
        <f t="shared" si="21"/>
        <v>41</v>
      </c>
      <c r="E415" s="35"/>
      <c r="F415" s="36"/>
      <c r="G415" s="37"/>
      <c r="H415" s="37"/>
      <c r="I415" s="33"/>
      <c r="J415" s="34"/>
    </row>
    <row r="416" spans="1:10" x14ac:dyDescent="0.25">
      <c r="A416" s="26">
        <f t="shared" si="19"/>
        <v>46300</v>
      </c>
      <c r="B416" s="27">
        <f t="shared" si="22"/>
        <v>46300</v>
      </c>
      <c r="C416" s="28">
        <f t="shared" si="20"/>
        <v>46300</v>
      </c>
      <c r="D416" s="29">
        <f t="shared" si="21"/>
        <v>41</v>
      </c>
      <c r="E416" s="35"/>
      <c r="F416" s="36"/>
      <c r="G416" s="37"/>
      <c r="H416" s="37"/>
      <c r="I416" s="33"/>
      <c r="J416" s="34"/>
    </row>
    <row r="417" spans="1:10" x14ac:dyDescent="0.25">
      <c r="A417" s="26">
        <f t="shared" si="19"/>
        <v>46301</v>
      </c>
      <c r="B417" s="27">
        <f t="shared" si="22"/>
        <v>46301</v>
      </c>
      <c r="C417" s="28">
        <f t="shared" si="20"/>
        <v>46301</v>
      </c>
      <c r="D417" s="29">
        <f t="shared" si="21"/>
        <v>41</v>
      </c>
      <c r="E417" s="35"/>
      <c r="F417" s="36"/>
      <c r="G417" s="37"/>
      <c r="H417" s="37"/>
      <c r="I417" s="33"/>
      <c r="J417" s="34"/>
    </row>
    <row r="418" spans="1:10" x14ac:dyDescent="0.25">
      <c r="A418" s="26">
        <f t="shared" si="19"/>
        <v>46302</v>
      </c>
      <c r="B418" s="27">
        <f t="shared" si="22"/>
        <v>46302</v>
      </c>
      <c r="C418" s="28">
        <f t="shared" si="20"/>
        <v>46302</v>
      </c>
      <c r="D418" s="29">
        <f t="shared" si="21"/>
        <v>41</v>
      </c>
      <c r="E418" s="35"/>
      <c r="F418" s="36"/>
      <c r="G418" s="37"/>
      <c r="H418" s="37"/>
      <c r="I418" s="33"/>
      <c r="J418" s="34"/>
    </row>
    <row r="419" spans="1:10" x14ac:dyDescent="0.25">
      <c r="A419" s="26">
        <f t="shared" si="19"/>
        <v>46303</v>
      </c>
      <c r="B419" s="27">
        <f t="shared" si="22"/>
        <v>46303</v>
      </c>
      <c r="C419" s="28">
        <f t="shared" si="20"/>
        <v>46303</v>
      </c>
      <c r="D419" s="29">
        <f t="shared" si="21"/>
        <v>41</v>
      </c>
      <c r="E419" s="35"/>
      <c r="F419" s="36"/>
      <c r="G419" s="37"/>
      <c r="H419" s="37"/>
      <c r="I419" s="33"/>
      <c r="J419" s="34"/>
    </row>
    <row r="420" spans="1:10" x14ac:dyDescent="0.25">
      <c r="A420" s="26">
        <f t="shared" si="19"/>
        <v>46304</v>
      </c>
      <c r="B420" s="27">
        <f t="shared" si="22"/>
        <v>46304</v>
      </c>
      <c r="C420" s="28">
        <f t="shared" si="20"/>
        <v>46304</v>
      </c>
      <c r="D420" s="29">
        <f t="shared" si="21"/>
        <v>41</v>
      </c>
      <c r="E420" s="35"/>
      <c r="F420" s="36"/>
      <c r="G420" s="37"/>
      <c r="H420" s="37"/>
      <c r="I420" s="33"/>
      <c r="J420" s="34"/>
    </row>
    <row r="421" spans="1:10" x14ac:dyDescent="0.25">
      <c r="A421" s="26">
        <f t="shared" si="19"/>
        <v>46305</v>
      </c>
      <c r="B421" s="27">
        <f t="shared" si="22"/>
        <v>46305</v>
      </c>
      <c r="C421" s="28">
        <f t="shared" si="20"/>
        <v>46305</v>
      </c>
      <c r="D421" s="29">
        <f t="shared" si="21"/>
        <v>41</v>
      </c>
      <c r="E421" s="35"/>
      <c r="F421" s="33"/>
      <c r="G421" s="38"/>
      <c r="H421" s="38"/>
      <c r="I421" s="33"/>
      <c r="J421" s="34"/>
    </row>
    <row r="422" spans="1:10" x14ac:dyDescent="0.25">
      <c r="A422" s="26">
        <f t="shared" si="19"/>
        <v>46306</v>
      </c>
      <c r="B422" s="27">
        <f t="shared" si="22"/>
        <v>46306</v>
      </c>
      <c r="C422" s="28">
        <f t="shared" si="20"/>
        <v>46306</v>
      </c>
      <c r="D422" s="29">
        <f t="shared" si="21"/>
        <v>42</v>
      </c>
      <c r="E422" s="35"/>
      <c r="F422" s="36"/>
      <c r="G422" s="37"/>
      <c r="H422" s="37"/>
      <c r="I422" s="33"/>
      <c r="J422" s="34"/>
    </row>
    <row r="423" spans="1:10" x14ac:dyDescent="0.25">
      <c r="A423" s="26">
        <f t="shared" si="19"/>
        <v>46307</v>
      </c>
      <c r="B423" s="27">
        <f t="shared" si="22"/>
        <v>46307</v>
      </c>
      <c r="C423" s="28">
        <f t="shared" si="20"/>
        <v>46307</v>
      </c>
      <c r="D423" s="29">
        <f t="shared" si="21"/>
        <v>42</v>
      </c>
      <c r="E423" s="35"/>
      <c r="F423" s="36"/>
      <c r="G423" s="37"/>
      <c r="H423" s="37"/>
      <c r="I423" s="33"/>
      <c r="J423" s="34"/>
    </row>
    <row r="424" spans="1:10" x14ac:dyDescent="0.25">
      <c r="A424" s="26">
        <f t="shared" si="19"/>
        <v>46308</v>
      </c>
      <c r="B424" s="27">
        <f t="shared" si="22"/>
        <v>46308</v>
      </c>
      <c r="C424" s="28">
        <f t="shared" si="20"/>
        <v>46308</v>
      </c>
      <c r="D424" s="29">
        <f t="shared" si="21"/>
        <v>42</v>
      </c>
      <c r="E424" s="35"/>
      <c r="F424" s="36"/>
      <c r="G424" s="37"/>
      <c r="H424" s="37"/>
      <c r="I424" s="33"/>
      <c r="J424" s="34"/>
    </row>
    <row r="425" spans="1:10" x14ac:dyDescent="0.25">
      <c r="A425" s="26">
        <f t="shared" si="19"/>
        <v>46309</v>
      </c>
      <c r="B425" s="27">
        <f t="shared" si="22"/>
        <v>46309</v>
      </c>
      <c r="C425" s="28">
        <f t="shared" si="20"/>
        <v>46309</v>
      </c>
      <c r="D425" s="29">
        <f t="shared" si="21"/>
        <v>42</v>
      </c>
      <c r="E425" s="35"/>
      <c r="F425" s="36"/>
      <c r="G425" s="37"/>
      <c r="H425" s="37"/>
      <c r="I425" s="33"/>
      <c r="J425" s="34"/>
    </row>
    <row r="426" spans="1:10" x14ac:dyDescent="0.25">
      <c r="A426" s="26">
        <f t="shared" si="19"/>
        <v>46310</v>
      </c>
      <c r="B426" s="27">
        <f t="shared" si="22"/>
        <v>46310</v>
      </c>
      <c r="C426" s="28">
        <f t="shared" si="20"/>
        <v>46310</v>
      </c>
      <c r="D426" s="29">
        <f t="shared" si="21"/>
        <v>42</v>
      </c>
      <c r="E426" s="35"/>
      <c r="F426" s="36"/>
      <c r="G426" s="37"/>
      <c r="H426" s="37"/>
      <c r="I426" s="33"/>
      <c r="J426" s="34"/>
    </row>
    <row r="427" spans="1:10" x14ac:dyDescent="0.25">
      <c r="A427" s="26">
        <f t="shared" si="19"/>
        <v>46311</v>
      </c>
      <c r="B427" s="27">
        <f t="shared" si="22"/>
        <v>46311</v>
      </c>
      <c r="C427" s="28">
        <f t="shared" si="20"/>
        <v>46311</v>
      </c>
      <c r="D427" s="29">
        <f t="shared" si="21"/>
        <v>42</v>
      </c>
      <c r="E427" s="35"/>
      <c r="F427" s="36"/>
      <c r="G427" s="37"/>
      <c r="H427" s="37"/>
      <c r="I427" s="33"/>
      <c r="J427" s="34"/>
    </row>
    <row r="428" spans="1:10" x14ac:dyDescent="0.25">
      <c r="A428" s="26">
        <f t="shared" si="19"/>
        <v>46312</v>
      </c>
      <c r="B428" s="27">
        <f t="shared" si="22"/>
        <v>46312</v>
      </c>
      <c r="C428" s="28">
        <f t="shared" si="20"/>
        <v>46312</v>
      </c>
      <c r="D428" s="29">
        <f t="shared" si="21"/>
        <v>42</v>
      </c>
      <c r="E428" s="35"/>
      <c r="F428" s="33"/>
      <c r="G428" s="38"/>
      <c r="H428" s="38"/>
      <c r="I428" s="33"/>
      <c r="J428" s="34"/>
    </row>
    <row r="429" spans="1:10" x14ac:dyDescent="0.25">
      <c r="A429" s="26">
        <f t="shared" si="19"/>
        <v>46313</v>
      </c>
      <c r="B429" s="27">
        <f t="shared" si="22"/>
        <v>46313</v>
      </c>
      <c r="C429" s="28">
        <f t="shared" si="20"/>
        <v>46313</v>
      </c>
      <c r="D429" s="29">
        <f t="shared" si="21"/>
        <v>43</v>
      </c>
      <c r="E429" s="35"/>
      <c r="F429" s="36"/>
      <c r="G429" s="37"/>
      <c r="H429" s="37"/>
      <c r="I429" s="33"/>
      <c r="J429" s="34"/>
    </row>
    <row r="430" spans="1:10" x14ac:dyDescent="0.25">
      <c r="A430" s="26">
        <f t="shared" si="19"/>
        <v>46314</v>
      </c>
      <c r="B430" s="27">
        <f t="shared" si="22"/>
        <v>46314</v>
      </c>
      <c r="C430" s="28">
        <f t="shared" si="20"/>
        <v>46314</v>
      </c>
      <c r="D430" s="29">
        <f t="shared" si="21"/>
        <v>43</v>
      </c>
      <c r="E430" s="35"/>
      <c r="F430" s="36"/>
      <c r="G430" s="37"/>
      <c r="H430" s="37"/>
      <c r="I430" s="33"/>
      <c r="J430" s="34"/>
    </row>
    <row r="431" spans="1:10" x14ac:dyDescent="0.25">
      <c r="A431" s="26">
        <f t="shared" si="19"/>
        <v>46315</v>
      </c>
      <c r="B431" s="27">
        <f t="shared" si="22"/>
        <v>46315</v>
      </c>
      <c r="C431" s="28">
        <f t="shared" si="20"/>
        <v>46315</v>
      </c>
      <c r="D431" s="29">
        <f t="shared" si="21"/>
        <v>43</v>
      </c>
      <c r="E431" s="35"/>
      <c r="F431" s="36"/>
      <c r="G431" s="37"/>
      <c r="H431" s="37"/>
      <c r="I431" s="33"/>
      <c r="J431" s="34"/>
    </row>
    <row r="432" spans="1:10" x14ac:dyDescent="0.25">
      <c r="A432" s="26">
        <f t="shared" si="19"/>
        <v>46316</v>
      </c>
      <c r="B432" s="27">
        <f t="shared" si="22"/>
        <v>46316</v>
      </c>
      <c r="C432" s="28">
        <f t="shared" si="20"/>
        <v>46316</v>
      </c>
      <c r="D432" s="29">
        <f t="shared" si="21"/>
        <v>43</v>
      </c>
      <c r="E432" s="35"/>
      <c r="F432" s="36"/>
      <c r="G432" s="37"/>
      <c r="H432" s="37"/>
      <c r="I432" s="33"/>
      <c r="J432" s="34"/>
    </row>
    <row r="433" spans="1:10" x14ac:dyDescent="0.25">
      <c r="A433" s="26">
        <f t="shared" si="19"/>
        <v>46317</v>
      </c>
      <c r="B433" s="27">
        <f t="shared" si="22"/>
        <v>46317</v>
      </c>
      <c r="C433" s="28">
        <f t="shared" si="20"/>
        <v>46317</v>
      </c>
      <c r="D433" s="29">
        <f t="shared" si="21"/>
        <v>43</v>
      </c>
      <c r="E433" s="35"/>
      <c r="F433" s="36"/>
      <c r="G433" s="37"/>
      <c r="H433" s="37"/>
      <c r="I433" s="33"/>
      <c r="J433" s="34"/>
    </row>
    <row r="434" spans="1:10" x14ac:dyDescent="0.25">
      <c r="A434" s="26">
        <f t="shared" si="19"/>
        <v>46318</v>
      </c>
      <c r="B434" s="27">
        <f t="shared" si="22"/>
        <v>46318</v>
      </c>
      <c r="C434" s="28">
        <f t="shared" si="20"/>
        <v>46318</v>
      </c>
      <c r="D434" s="29">
        <f t="shared" si="21"/>
        <v>43</v>
      </c>
      <c r="E434" s="35"/>
      <c r="F434" s="36"/>
      <c r="G434" s="37"/>
      <c r="H434" s="37"/>
      <c r="I434" s="33"/>
      <c r="J434" s="34"/>
    </row>
    <row r="435" spans="1:10" x14ac:dyDescent="0.25">
      <c r="A435" s="26">
        <f t="shared" si="19"/>
        <v>46319</v>
      </c>
      <c r="B435" s="27">
        <f t="shared" si="22"/>
        <v>46319</v>
      </c>
      <c r="C435" s="28">
        <f t="shared" si="20"/>
        <v>46319</v>
      </c>
      <c r="D435" s="29">
        <f t="shared" si="21"/>
        <v>43</v>
      </c>
      <c r="E435" s="35"/>
      <c r="F435" s="33"/>
      <c r="G435" s="38"/>
      <c r="H435" s="38"/>
      <c r="I435" s="33"/>
      <c r="J435" s="34"/>
    </row>
    <row r="436" spans="1:10" x14ac:dyDescent="0.25">
      <c r="A436" s="26">
        <f t="shared" si="19"/>
        <v>46320</v>
      </c>
      <c r="B436" s="27">
        <f t="shared" si="22"/>
        <v>46320</v>
      </c>
      <c r="C436" s="28">
        <f t="shared" si="20"/>
        <v>46320</v>
      </c>
      <c r="D436" s="29">
        <f t="shared" si="21"/>
        <v>44</v>
      </c>
      <c r="E436" s="35"/>
      <c r="F436" s="36"/>
      <c r="G436" s="37"/>
      <c r="H436" s="37"/>
      <c r="I436" s="33"/>
      <c r="J436" s="34"/>
    </row>
    <row r="437" spans="1:10" x14ac:dyDescent="0.25">
      <c r="A437" s="26">
        <f t="shared" si="19"/>
        <v>46321</v>
      </c>
      <c r="B437" s="27">
        <f t="shared" si="22"/>
        <v>46321</v>
      </c>
      <c r="C437" s="28">
        <f t="shared" si="20"/>
        <v>46321</v>
      </c>
      <c r="D437" s="29">
        <f t="shared" si="21"/>
        <v>44</v>
      </c>
      <c r="E437" s="35"/>
      <c r="F437" s="36"/>
      <c r="G437" s="37"/>
      <c r="H437" s="37"/>
      <c r="I437" s="33"/>
      <c r="J437" s="34"/>
    </row>
    <row r="438" spans="1:10" x14ac:dyDescent="0.25">
      <c r="A438" s="26">
        <f t="shared" ref="A438:A501" si="23">B438</f>
        <v>46322</v>
      </c>
      <c r="B438" s="27">
        <f t="shared" si="22"/>
        <v>46322</v>
      </c>
      <c r="C438" s="28">
        <f t="shared" ref="C438:C501" si="24">B438</f>
        <v>46322</v>
      </c>
      <c r="D438" s="29">
        <f t="shared" ref="D438:D501" si="25">WEEKNUM(A438)</f>
        <v>44</v>
      </c>
      <c r="E438" s="35"/>
      <c r="F438" s="36"/>
      <c r="G438" s="37"/>
      <c r="H438" s="37"/>
      <c r="I438" s="33"/>
      <c r="J438" s="34"/>
    </row>
    <row r="439" spans="1:10" x14ac:dyDescent="0.25">
      <c r="A439" s="26">
        <f t="shared" si="23"/>
        <v>46323</v>
      </c>
      <c r="B439" s="27">
        <f t="shared" si="22"/>
        <v>46323</v>
      </c>
      <c r="C439" s="28">
        <f t="shared" si="24"/>
        <v>46323</v>
      </c>
      <c r="D439" s="29">
        <f t="shared" si="25"/>
        <v>44</v>
      </c>
      <c r="E439" s="35"/>
      <c r="F439" s="36"/>
      <c r="G439" s="37"/>
      <c r="H439" s="37"/>
      <c r="I439" s="33"/>
      <c r="J439" s="34"/>
    </row>
    <row r="440" spans="1:10" x14ac:dyDescent="0.25">
      <c r="A440" s="26">
        <f t="shared" si="23"/>
        <v>46324</v>
      </c>
      <c r="B440" s="27">
        <f t="shared" si="22"/>
        <v>46324</v>
      </c>
      <c r="C440" s="28">
        <f t="shared" si="24"/>
        <v>46324</v>
      </c>
      <c r="D440" s="29">
        <f t="shared" si="25"/>
        <v>44</v>
      </c>
      <c r="E440" s="35"/>
      <c r="F440" s="36"/>
      <c r="G440" s="37"/>
      <c r="H440" s="37"/>
      <c r="I440" s="33"/>
      <c r="J440" s="34"/>
    </row>
    <row r="441" spans="1:10" x14ac:dyDescent="0.25">
      <c r="A441" s="26">
        <f t="shared" si="23"/>
        <v>46325</v>
      </c>
      <c r="B441" s="27">
        <f t="shared" si="22"/>
        <v>46325</v>
      </c>
      <c r="C441" s="28">
        <f t="shared" si="24"/>
        <v>46325</v>
      </c>
      <c r="D441" s="29">
        <f t="shared" si="25"/>
        <v>44</v>
      </c>
      <c r="E441" s="35"/>
      <c r="F441" s="36"/>
      <c r="G441" s="37"/>
      <c r="H441" s="37"/>
      <c r="I441" s="33"/>
      <c r="J441" s="34"/>
    </row>
    <row r="442" spans="1:10" x14ac:dyDescent="0.25">
      <c r="A442" s="26">
        <f t="shared" si="23"/>
        <v>46326</v>
      </c>
      <c r="B442" s="27">
        <f t="shared" si="22"/>
        <v>46326</v>
      </c>
      <c r="C442" s="28">
        <f t="shared" si="24"/>
        <v>46326</v>
      </c>
      <c r="D442" s="29">
        <f t="shared" si="25"/>
        <v>44</v>
      </c>
      <c r="E442" s="35"/>
      <c r="F442" s="33"/>
      <c r="G442" s="38"/>
      <c r="H442" s="38"/>
      <c r="I442" s="33"/>
      <c r="J442" s="34"/>
    </row>
    <row r="443" spans="1:10" x14ac:dyDescent="0.25">
      <c r="A443" s="26">
        <f t="shared" si="23"/>
        <v>46327</v>
      </c>
      <c r="B443" s="27">
        <f t="shared" si="22"/>
        <v>46327</v>
      </c>
      <c r="C443" s="28">
        <f t="shared" si="24"/>
        <v>46327</v>
      </c>
      <c r="D443" s="29">
        <f t="shared" si="25"/>
        <v>45</v>
      </c>
      <c r="E443" s="35"/>
      <c r="F443" s="36"/>
      <c r="G443" s="37"/>
      <c r="H443" s="37"/>
      <c r="I443" s="33"/>
      <c r="J443" s="34"/>
    </row>
    <row r="444" spans="1:10" x14ac:dyDescent="0.25">
      <c r="A444" s="26">
        <f t="shared" si="23"/>
        <v>46328</v>
      </c>
      <c r="B444" s="27">
        <f t="shared" si="22"/>
        <v>46328</v>
      </c>
      <c r="C444" s="28">
        <f t="shared" si="24"/>
        <v>46328</v>
      </c>
      <c r="D444" s="29">
        <f t="shared" si="25"/>
        <v>45</v>
      </c>
      <c r="E444" s="35"/>
      <c r="F444" s="36"/>
      <c r="G444" s="37"/>
      <c r="H444" s="37"/>
      <c r="I444" s="33"/>
      <c r="J444" s="34"/>
    </row>
    <row r="445" spans="1:10" x14ac:dyDescent="0.25">
      <c r="A445" s="26">
        <f t="shared" si="23"/>
        <v>46329</v>
      </c>
      <c r="B445" s="27">
        <f t="shared" si="22"/>
        <v>46329</v>
      </c>
      <c r="C445" s="28">
        <f t="shared" si="24"/>
        <v>46329</v>
      </c>
      <c r="D445" s="29">
        <f t="shared" si="25"/>
        <v>45</v>
      </c>
      <c r="E445" s="35"/>
      <c r="F445" s="36"/>
      <c r="G445" s="37"/>
      <c r="H445" s="37"/>
      <c r="I445" s="33"/>
      <c r="J445" s="34"/>
    </row>
    <row r="446" spans="1:10" x14ac:dyDescent="0.25">
      <c r="A446" s="26">
        <f t="shared" si="23"/>
        <v>46330</v>
      </c>
      <c r="B446" s="27">
        <f t="shared" si="22"/>
        <v>46330</v>
      </c>
      <c r="C446" s="28">
        <f t="shared" si="24"/>
        <v>46330</v>
      </c>
      <c r="D446" s="29">
        <f t="shared" si="25"/>
        <v>45</v>
      </c>
      <c r="E446" s="35"/>
      <c r="F446" s="36"/>
      <c r="G446" s="37"/>
      <c r="H446" s="37"/>
      <c r="I446" s="33"/>
      <c r="J446" s="34"/>
    </row>
    <row r="447" spans="1:10" x14ac:dyDescent="0.25">
      <c r="A447" s="26">
        <f t="shared" si="23"/>
        <v>46331</v>
      </c>
      <c r="B447" s="27">
        <f t="shared" si="22"/>
        <v>46331</v>
      </c>
      <c r="C447" s="28">
        <f t="shared" si="24"/>
        <v>46331</v>
      </c>
      <c r="D447" s="29">
        <f t="shared" si="25"/>
        <v>45</v>
      </c>
      <c r="E447" s="35"/>
      <c r="F447" s="36"/>
      <c r="G447" s="37"/>
      <c r="H447" s="37"/>
      <c r="I447" s="33"/>
      <c r="J447" s="34"/>
    </row>
    <row r="448" spans="1:10" x14ac:dyDescent="0.25">
      <c r="A448" s="26">
        <f t="shared" si="23"/>
        <v>46332</v>
      </c>
      <c r="B448" s="27">
        <f t="shared" si="22"/>
        <v>46332</v>
      </c>
      <c r="C448" s="28">
        <f t="shared" si="24"/>
        <v>46332</v>
      </c>
      <c r="D448" s="29">
        <f t="shared" si="25"/>
        <v>45</v>
      </c>
      <c r="E448" s="35"/>
      <c r="F448" s="36"/>
      <c r="G448" s="37"/>
      <c r="H448" s="37"/>
      <c r="I448" s="33"/>
      <c r="J448" s="34"/>
    </row>
    <row r="449" spans="1:10" x14ac:dyDescent="0.25">
      <c r="A449" s="26">
        <f t="shared" si="23"/>
        <v>46333</v>
      </c>
      <c r="B449" s="27">
        <f t="shared" si="22"/>
        <v>46333</v>
      </c>
      <c r="C449" s="28">
        <f t="shared" si="24"/>
        <v>46333</v>
      </c>
      <c r="D449" s="29">
        <f t="shared" si="25"/>
        <v>45</v>
      </c>
      <c r="E449" s="35"/>
      <c r="F449" s="36"/>
      <c r="G449" s="37"/>
      <c r="H449" s="37"/>
      <c r="I449" s="33"/>
      <c r="J449" s="34"/>
    </row>
    <row r="450" spans="1:10" x14ac:dyDescent="0.25">
      <c r="A450" s="26">
        <f t="shared" si="23"/>
        <v>46334</v>
      </c>
      <c r="B450" s="27">
        <f t="shared" si="22"/>
        <v>46334</v>
      </c>
      <c r="C450" s="28">
        <f t="shared" si="24"/>
        <v>46334</v>
      </c>
      <c r="D450" s="29">
        <f t="shared" si="25"/>
        <v>46</v>
      </c>
      <c r="E450" s="35"/>
      <c r="F450" s="36"/>
      <c r="G450" s="37"/>
      <c r="H450" s="37"/>
      <c r="I450" s="33"/>
      <c r="J450" s="34"/>
    </row>
    <row r="451" spans="1:10" x14ac:dyDescent="0.25">
      <c r="A451" s="26">
        <f t="shared" si="23"/>
        <v>46335</v>
      </c>
      <c r="B451" s="27">
        <f t="shared" si="22"/>
        <v>46335</v>
      </c>
      <c r="C451" s="28">
        <f t="shared" si="24"/>
        <v>46335</v>
      </c>
      <c r="D451" s="29">
        <f t="shared" si="25"/>
        <v>46</v>
      </c>
      <c r="E451" s="35"/>
      <c r="F451" s="36"/>
      <c r="G451" s="37"/>
      <c r="H451" s="37"/>
      <c r="I451" s="33"/>
      <c r="J451" s="34"/>
    </row>
    <row r="452" spans="1:10" x14ac:dyDescent="0.25">
      <c r="A452" s="26">
        <f t="shared" si="23"/>
        <v>46336</v>
      </c>
      <c r="B452" s="27">
        <f t="shared" si="22"/>
        <v>46336</v>
      </c>
      <c r="C452" s="28">
        <f t="shared" si="24"/>
        <v>46336</v>
      </c>
      <c r="D452" s="29">
        <f t="shared" si="25"/>
        <v>46</v>
      </c>
      <c r="E452" s="35"/>
      <c r="F452" s="36"/>
      <c r="G452" s="37"/>
      <c r="H452" s="37"/>
      <c r="I452" s="33"/>
      <c r="J452" s="34"/>
    </row>
    <row r="453" spans="1:10" x14ac:dyDescent="0.25">
      <c r="A453" s="26">
        <f t="shared" si="23"/>
        <v>46337</v>
      </c>
      <c r="B453" s="27">
        <f t="shared" si="22"/>
        <v>46337</v>
      </c>
      <c r="C453" s="28">
        <f t="shared" si="24"/>
        <v>46337</v>
      </c>
      <c r="D453" s="29">
        <f t="shared" si="25"/>
        <v>46</v>
      </c>
      <c r="E453" s="35"/>
      <c r="F453" s="36"/>
      <c r="G453" s="37"/>
      <c r="H453" s="37"/>
      <c r="I453" s="33"/>
      <c r="J453" s="34"/>
    </row>
    <row r="454" spans="1:10" x14ac:dyDescent="0.25">
      <c r="A454" s="26">
        <f t="shared" si="23"/>
        <v>46338</v>
      </c>
      <c r="B454" s="27">
        <f t="shared" si="22"/>
        <v>46338</v>
      </c>
      <c r="C454" s="28">
        <f t="shared" si="24"/>
        <v>46338</v>
      </c>
      <c r="D454" s="29">
        <f t="shared" si="25"/>
        <v>46</v>
      </c>
      <c r="E454" s="35"/>
      <c r="F454" s="36"/>
      <c r="G454" s="37"/>
      <c r="H454" s="37"/>
      <c r="I454" s="33"/>
      <c r="J454" s="34"/>
    </row>
    <row r="455" spans="1:10" x14ac:dyDescent="0.25">
      <c r="A455" s="26">
        <f t="shared" si="23"/>
        <v>46339</v>
      </c>
      <c r="B455" s="27">
        <f t="shared" si="22"/>
        <v>46339</v>
      </c>
      <c r="C455" s="28">
        <f t="shared" si="24"/>
        <v>46339</v>
      </c>
      <c r="D455" s="29">
        <f t="shared" si="25"/>
        <v>46</v>
      </c>
      <c r="E455" s="35"/>
      <c r="F455" s="36"/>
      <c r="G455" s="37"/>
      <c r="H455" s="37"/>
      <c r="I455" s="33"/>
      <c r="J455" s="34"/>
    </row>
    <row r="456" spans="1:10" x14ac:dyDescent="0.25">
      <c r="A456" s="26">
        <f t="shared" si="23"/>
        <v>46340</v>
      </c>
      <c r="B456" s="27">
        <f t="shared" si="22"/>
        <v>46340</v>
      </c>
      <c r="C456" s="28">
        <f t="shared" si="24"/>
        <v>46340</v>
      </c>
      <c r="D456" s="29">
        <f t="shared" si="25"/>
        <v>46</v>
      </c>
      <c r="E456" s="35"/>
      <c r="F456" s="36"/>
      <c r="G456" s="37"/>
      <c r="H456" s="37"/>
      <c r="I456" s="33"/>
      <c r="J456" s="34"/>
    </row>
    <row r="457" spans="1:10" x14ac:dyDescent="0.25">
      <c r="A457" s="26">
        <f t="shared" si="23"/>
        <v>46341</v>
      </c>
      <c r="B457" s="27">
        <f t="shared" si="22"/>
        <v>46341</v>
      </c>
      <c r="C457" s="28">
        <f t="shared" si="24"/>
        <v>46341</v>
      </c>
      <c r="D457" s="29">
        <f t="shared" si="25"/>
        <v>47</v>
      </c>
      <c r="E457" s="35"/>
      <c r="F457" s="36"/>
      <c r="G457" s="37"/>
      <c r="H457" s="37"/>
      <c r="I457" s="33"/>
      <c r="J457" s="34"/>
    </row>
    <row r="458" spans="1:10" x14ac:dyDescent="0.25">
      <c r="A458" s="26">
        <f t="shared" si="23"/>
        <v>46342</v>
      </c>
      <c r="B458" s="27">
        <f t="shared" si="22"/>
        <v>46342</v>
      </c>
      <c r="C458" s="28">
        <f t="shared" si="24"/>
        <v>46342</v>
      </c>
      <c r="D458" s="29">
        <f t="shared" si="25"/>
        <v>47</v>
      </c>
      <c r="E458" s="35"/>
      <c r="F458" s="36"/>
      <c r="G458" s="37"/>
      <c r="H458" s="37"/>
      <c r="I458" s="33"/>
      <c r="J458" s="34"/>
    </row>
    <row r="459" spans="1:10" x14ac:dyDescent="0.25">
      <c r="A459" s="26">
        <f t="shared" si="23"/>
        <v>46343</v>
      </c>
      <c r="B459" s="27">
        <f t="shared" si="22"/>
        <v>46343</v>
      </c>
      <c r="C459" s="28">
        <f t="shared" si="24"/>
        <v>46343</v>
      </c>
      <c r="D459" s="29">
        <f t="shared" si="25"/>
        <v>47</v>
      </c>
      <c r="E459" s="35"/>
      <c r="F459" s="36"/>
      <c r="G459" s="37"/>
      <c r="H459" s="37"/>
      <c r="I459" s="33"/>
      <c r="J459" s="34"/>
    </row>
    <row r="460" spans="1:10" x14ac:dyDescent="0.25">
      <c r="A460" s="26">
        <f t="shared" si="23"/>
        <v>46344</v>
      </c>
      <c r="B460" s="27">
        <f t="shared" si="22"/>
        <v>46344</v>
      </c>
      <c r="C460" s="28">
        <f t="shared" si="24"/>
        <v>46344</v>
      </c>
      <c r="D460" s="29">
        <f t="shared" si="25"/>
        <v>47</v>
      </c>
      <c r="E460" s="35"/>
      <c r="F460" s="36"/>
      <c r="G460" s="37"/>
      <c r="H460" s="37"/>
      <c r="I460" s="33"/>
      <c r="J460" s="34"/>
    </row>
    <row r="461" spans="1:10" x14ac:dyDescent="0.25">
      <c r="A461" s="26">
        <f t="shared" si="23"/>
        <v>46345</v>
      </c>
      <c r="B461" s="27">
        <f t="shared" si="22"/>
        <v>46345</v>
      </c>
      <c r="C461" s="28">
        <f t="shared" si="24"/>
        <v>46345</v>
      </c>
      <c r="D461" s="29">
        <f t="shared" si="25"/>
        <v>47</v>
      </c>
      <c r="E461" s="35"/>
      <c r="F461" s="36"/>
      <c r="G461" s="37"/>
      <c r="H461" s="37"/>
      <c r="I461" s="33"/>
      <c r="J461" s="34"/>
    </row>
    <row r="462" spans="1:10" x14ac:dyDescent="0.25">
      <c r="A462" s="26">
        <f t="shared" si="23"/>
        <v>46346</v>
      </c>
      <c r="B462" s="27">
        <f t="shared" si="22"/>
        <v>46346</v>
      </c>
      <c r="C462" s="28">
        <f t="shared" si="24"/>
        <v>46346</v>
      </c>
      <c r="D462" s="29">
        <f t="shared" si="25"/>
        <v>47</v>
      </c>
      <c r="E462" s="35"/>
      <c r="F462" s="36"/>
      <c r="G462" s="37"/>
      <c r="H462" s="37"/>
      <c r="I462" s="33"/>
      <c r="J462" s="34"/>
    </row>
    <row r="463" spans="1:10" x14ac:dyDescent="0.25">
      <c r="A463" s="26">
        <f t="shared" si="23"/>
        <v>46347</v>
      </c>
      <c r="B463" s="27">
        <f t="shared" si="22"/>
        <v>46347</v>
      </c>
      <c r="C463" s="28">
        <f t="shared" si="24"/>
        <v>46347</v>
      </c>
      <c r="D463" s="29">
        <f t="shared" si="25"/>
        <v>47</v>
      </c>
      <c r="E463" s="35"/>
      <c r="F463" s="36"/>
      <c r="G463" s="37"/>
      <c r="H463" s="37"/>
      <c r="I463" s="33"/>
      <c r="J463" s="34"/>
    </row>
    <row r="464" spans="1:10" x14ac:dyDescent="0.25">
      <c r="A464" s="26">
        <f t="shared" si="23"/>
        <v>46348</v>
      </c>
      <c r="B464" s="27">
        <f t="shared" si="22"/>
        <v>46348</v>
      </c>
      <c r="C464" s="28">
        <f t="shared" si="24"/>
        <v>46348</v>
      </c>
      <c r="D464" s="29">
        <f t="shared" si="25"/>
        <v>48</v>
      </c>
      <c r="E464" s="35"/>
      <c r="F464" s="36"/>
      <c r="G464" s="37"/>
      <c r="H464" s="37"/>
      <c r="I464" s="33"/>
      <c r="J464" s="34"/>
    </row>
    <row r="465" spans="1:10" x14ac:dyDescent="0.25">
      <c r="A465" s="26">
        <f t="shared" si="23"/>
        <v>46349</v>
      </c>
      <c r="B465" s="27">
        <f t="shared" ref="B465:B503" si="26">+B464+1</f>
        <v>46349</v>
      </c>
      <c r="C465" s="28">
        <f t="shared" si="24"/>
        <v>46349</v>
      </c>
      <c r="D465" s="29">
        <f t="shared" si="25"/>
        <v>48</v>
      </c>
      <c r="E465" s="35"/>
      <c r="F465" s="36"/>
      <c r="G465" s="37"/>
      <c r="H465" s="37"/>
      <c r="I465" s="33"/>
      <c r="J465" s="34"/>
    </row>
    <row r="466" spans="1:10" x14ac:dyDescent="0.25">
      <c r="A466" s="26">
        <f t="shared" si="23"/>
        <v>46350</v>
      </c>
      <c r="B466" s="27">
        <f t="shared" si="26"/>
        <v>46350</v>
      </c>
      <c r="C466" s="28">
        <f t="shared" si="24"/>
        <v>46350</v>
      </c>
      <c r="D466" s="29">
        <f t="shared" si="25"/>
        <v>48</v>
      </c>
      <c r="E466" s="35"/>
      <c r="F466" s="36"/>
      <c r="G466" s="37"/>
      <c r="H466" s="37"/>
      <c r="I466" s="33"/>
      <c r="J466" s="34"/>
    </row>
    <row r="467" spans="1:10" x14ac:dyDescent="0.25">
      <c r="A467" s="26">
        <f t="shared" si="23"/>
        <v>46351</v>
      </c>
      <c r="B467" s="27">
        <f t="shared" si="26"/>
        <v>46351</v>
      </c>
      <c r="C467" s="28">
        <f t="shared" si="24"/>
        <v>46351</v>
      </c>
      <c r="D467" s="29">
        <f t="shared" si="25"/>
        <v>48</v>
      </c>
      <c r="E467" s="35"/>
      <c r="F467" s="36"/>
      <c r="G467" s="37"/>
      <c r="H467" s="37"/>
      <c r="I467" s="33"/>
      <c r="J467" s="34"/>
    </row>
    <row r="468" spans="1:10" x14ac:dyDescent="0.25">
      <c r="A468" s="26">
        <f t="shared" si="23"/>
        <v>46352</v>
      </c>
      <c r="B468" s="27">
        <f t="shared" si="26"/>
        <v>46352</v>
      </c>
      <c r="C468" s="28">
        <f t="shared" si="24"/>
        <v>46352</v>
      </c>
      <c r="D468" s="29">
        <f t="shared" si="25"/>
        <v>48</v>
      </c>
      <c r="E468" s="35"/>
      <c r="F468" s="36"/>
      <c r="G468" s="37"/>
      <c r="H468" s="37"/>
      <c r="I468" s="33"/>
      <c r="J468" s="34"/>
    </row>
    <row r="469" spans="1:10" x14ac:dyDescent="0.25">
      <c r="A469" s="26">
        <f t="shared" si="23"/>
        <v>46353</v>
      </c>
      <c r="B469" s="27">
        <f t="shared" si="26"/>
        <v>46353</v>
      </c>
      <c r="C469" s="28">
        <f t="shared" si="24"/>
        <v>46353</v>
      </c>
      <c r="D469" s="29">
        <f t="shared" si="25"/>
        <v>48</v>
      </c>
      <c r="E469" s="35"/>
      <c r="F469" s="36"/>
      <c r="G469" s="37"/>
      <c r="H469" s="37"/>
      <c r="I469" s="33"/>
      <c r="J469" s="34"/>
    </row>
    <row r="470" spans="1:10" x14ac:dyDescent="0.25">
      <c r="A470" s="26">
        <f t="shared" si="23"/>
        <v>46354</v>
      </c>
      <c r="B470" s="27">
        <f t="shared" si="26"/>
        <v>46354</v>
      </c>
      <c r="C470" s="28">
        <f t="shared" si="24"/>
        <v>46354</v>
      </c>
      <c r="D470" s="29">
        <f t="shared" si="25"/>
        <v>48</v>
      </c>
      <c r="E470" s="35"/>
      <c r="F470" s="36"/>
      <c r="G470" s="37"/>
      <c r="H470" s="37"/>
      <c r="I470" s="33"/>
      <c r="J470" s="34"/>
    </row>
    <row r="471" spans="1:10" x14ac:dyDescent="0.25">
      <c r="A471" s="26">
        <f t="shared" si="23"/>
        <v>46355</v>
      </c>
      <c r="B471" s="27">
        <f t="shared" si="26"/>
        <v>46355</v>
      </c>
      <c r="C471" s="28">
        <f t="shared" si="24"/>
        <v>46355</v>
      </c>
      <c r="D471" s="29">
        <f t="shared" si="25"/>
        <v>49</v>
      </c>
      <c r="E471" s="35"/>
      <c r="F471" s="36"/>
      <c r="G471" s="37"/>
      <c r="H471" s="37"/>
      <c r="I471" s="33"/>
      <c r="J471" s="34"/>
    </row>
    <row r="472" spans="1:10" x14ac:dyDescent="0.25">
      <c r="A472" s="26">
        <f t="shared" si="23"/>
        <v>46356</v>
      </c>
      <c r="B472" s="27">
        <f t="shared" si="26"/>
        <v>46356</v>
      </c>
      <c r="C472" s="28">
        <f t="shared" si="24"/>
        <v>46356</v>
      </c>
      <c r="D472" s="29">
        <f t="shared" si="25"/>
        <v>49</v>
      </c>
      <c r="E472" s="35"/>
      <c r="F472" s="36"/>
      <c r="G472" s="37"/>
      <c r="H472" s="37"/>
      <c r="I472" s="33"/>
      <c r="J472" s="34"/>
    </row>
    <row r="473" spans="1:10" x14ac:dyDescent="0.25">
      <c r="A473" s="26">
        <f t="shared" si="23"/>
        <v>46357</v>
      </c>
      <c r="B473" s="27">
        <f t="shared" si="26"/>
        <v>46357</v>
      </c>
      <c r="C473" s="28">
        <f t="shared" si="24"/>
        <v>46357</v>
      </c>
      <c r="D473" s="29">
        <f t="shared" si="25"/>
        <v>49</v>
      </c>
      <c r="E473" s="35"/>
      <c r="F473" s="36"/>
      <c r="G473" s="37"/>
      <c r="H473" s="37"/>
      <c r="I473" s="33"/>
      <c r="J473" s="34"/>
    </row>
    <row r="474" spans="1:10" x14ac:dyDescent="0.25">
      <c r="A474" s="26">
        <f t="shared" si="23"/>
        <v>46358</v>
      </c>
      <c r="B474" s="27">
        <f t="shared" si="26"/>
        <v>46358</v>
      </c>
      <c r="C474" s="28">
        <f t="shared" si="24"/>
        <v>46358</v>
      </c>
      <c r="D474" s="29">
        <f t="shared" si="25"/>
        <v>49</v>
      </c>
      <c r="E474" s="35"/>
      <c r="F474" s="36"/>
      <c r="G474" s="37"/>
      <c r="H474" s="37"/>
      <c r="I474" s="33"/>
      <c r="J474" s="34"/>
    </row>
    <row r="475" spans="1:10" x14ac:dyDescent="0.25">
      <c r="A475" s="26">
        <f t="shared" si="23"/>
        <v>46359</v>
      </c>
      <c r="B475" s="27">
        <f t="shared" si="26"/>
        <v>46359</v>
      </c>
      <c r="C475" s="28">
        <f t="shared" si="24"/>
        <v>46359</v>
      </c>
      <c r="D475" s="29">
        <f t="shared" si="25"/>
        <v>49</v>
      </c>
      <c r="E475" s="35"/>
      <c r="F475" s="36"/>
      <c r="G475" s="37"/>
      <c r="H475" s="37"/>
      <c r="I475" s="33"/>
      <c r="J475" s="34"/>
    </row>
    <row r="476" spans="1:10" x14ac:dyDescent="0.25">
      <c r="A476" s="26">
        <f t="shared" si="23"/>
        <v>46360</v>
      </c>
      <c r="B476" s="27">
        <f t="shared" si="26"/>
        <v>46360</v>
      </c>
      <c r="C476" s="28">
        <f t="shared" si="24"/>
        <v>46360</v>
      </c>
      <c r="D476" s="29">
        <f t="shared" si="25"/>
        <v>49</v>
      </c>
      <c r="E476" s="35"/>
      <c r="F476" s="36"/>
      <c r="G476" s="37"/>
      <c r="H476" s="37"/>
      <c r="I476" s="33"/>
      <c r="J476" s="34"/>
    </row>
    <row r="477" spans="1:10" x14ac:dyDescent="0.25">
      <c r="A477" s="26">
        <f t="shared" si="23"/>
        <v>46361</v>
      </c>
      <c r="B477" s="27">
        <f t="shared" si="26"/>
        <v>46361</v>
      </c>
      <c r="C477" s="28">
        <f t="shared" si="24"/>
        <v>46361</v>
      </c>
      <c r="D477" s="29">
        <f t="shared" si="25"/>
        <v>49</v>
      </c>
      <c r="E477" s="35"/>
      <c r="F477" s="36"/>
      <c r="G477" s="37"/>
      <c r="H477" s="37"/>
      <c r="I477" s="33"/>
      <c r="J477" s="34"/>
    </row>
    <row r="478" spans="1:10" x14ac:dyDescent="0.25">
      <c r="A478" s="26">
        <f t="shared" si="23"/>
        <v>46362</v>
      </c>
      <c r="B478" s="27">
        <f t="shared" si="26"/>
        <v>46362</v>
      </c>
      <c r="C478" s="28">
        <f t="shared" si="24"/>
        <v>46362</v>
      </c>
      <c r="D478" s="29">
        <f t="shared" si="25"/>
        <v>50</v>
      </c>
      <c r="E478" s="35"/>
      <c r="F478" s="36"/>
      <c r="G478" s="37"/>
      <c r="H478" s="37"/>
      <c r="I478" s="33"/>
      <c r="J478" s="34"/>
    </row>
    <row r="479" spans="1:10" x14ac:dyDescent="0.25">
      <c r="A479" s="26">
        <f t="shared" si="23"/>
        <v>46363</v>
      </c>
      <c r="B479" s="27">
        <f t="shared" si="26"/>
        <v>46363</v>
      </c>
      <c r="C479" s="28">
        <f t="shared" si="24"/>
        <v>46363</v>
      </c>
      <c r="D479" s="29">
        <f t="shared" si="25"/>
        <v>50</v>
      </c>
      <c r="E479" s="35"/>
      <c r="F479" s="36"/>
      <c r="G479" s="37"/>
      <c r="H479" s="37"/>
      <c r="I479" s="33"/>
      <c r="J479" s="34"/>
    </row>
    <row r="480" spans="1:10" x14ac:dyDescent="0.25">
      <c r="A480" s="26">
        <f t="shared" si="23"/>
        <v>46364</v>
      </c>
      <c r="B480" s="27">
        <f t="shared" si="26"/>
        <v>46364</v>
      </c>
      <c r="C480" s="28">
        <f t="shared" si="24"/>
        <v>46364</v>
      </c>
      <c r="D480" s="29">
        <f t="shared" si="25"/>
        <v>50</v>
      </c>
      <c r="E480" s="35"/>
      <c r="F480" s="36"/>
      <c r="G480" s="37"/>
      <c r="H480" s="37"/>
      <c r="I480" s="33"/>
      <c r="J480" s="34"/>
    </row>
    <row r="481" spans="1:10" x14ac:dyDescent="0.25">
      <c r="A481" s="26">
        <f t="shared" si="23"/>
        <v>46365</v>
      </c>
      <c r="B481" s="27">
        <f t="shared" si="26"/>
        <v>46365</v>
      </c>
      <c r="C481" s="28">
        <f t="shared" si="24"/>
        <v>46365</v>
      </c>
      <c r="D481" s="29">
        <f t="shared" si="25"/>
        <v>50</v>
      </c>
      <c r="E481" s="35"/>
      <c r="F481" s="36"/>
      <c r="G481" s="37"/>
      <c r="H481" s="37"/>
      <c r="I481" s="33"/>
      <c r="J481" s="34"/>
    </row>
    <row r="482" spans="1:10" x14ac:dyDescent="0.25">
      <c r="A482" s="26">
        <f t="shared" si="23"/>
        <v>46366</v>
      </c>
      <c r="B482" s="27">
        <f t="shared" si="26"/>
        <v>46366</v>
      </c>
      <c r="C482" s="28">
        <f t="shared" si="24"/>
        <v>46366</v>
      </c>
      <c r="D482" s="29">
        <f t="shared" si="25"/>
        <v>50</v>
      </c>
      <c r="E482" s="35"/>
      <c r="F482" s="36"/>
      <c r="G482" s="37"/>
      <c r="H482" s="37"/>
      <c r="I482" s="33"/>
      <c r="J482" s="34"/>
    </row>
    <row r="483" spans="1:10" x14ac:dyDescent="0.25">
      <c r="A483" s="26">
        <f t="shared" si="23"/>
        <v>46367</v>
      </c>
      <c r="B483" s="27">
        <f t="shared" si="26"/>
        <v>46367</v>
      </c>
      <c r="C483" s="28">
        <f t="shared" si="24"/>
        <v>46367</v>
      </c>
      <c r="D483" s="29">
        <f t="shared" si="25"/>
        <v>50</v>
      </c>
      <c r="E483" s="35"/>
      <c r="F483" s="36"/>
      <c r="G483" s="37"/>
      <c r="H483" s="37"/>
      <c r="I483" s="33"/>
      <c r="J483" s="34"/>
    </row>
    <row r="484" spans="1:10" x14ac:dyDescent="0.25">
      <c r="A484" s="26">
        <f t="shared" si="23"/>
        <v>46368</v>
      </c>
      <c r="B484" s="27">
        <f t="shared" si="26"/>
        <v>46368</v>
      </c>
      <c r="C484" s="28">
        <f t="shared" si="24"/>
        <v>46368</v>
      </c>
      <c r="D484" s="29">
        <f t="shared" si="25"/>
        <v>50</v>
      </c>
      <c r="E484" s="35"/>
      <c r="F484" s="36"/>
      <c r="G484" s="37"/>
      <c r="H484" s="37"/>
      <c r="I484" s="33"/>
      <c r="J484" s="34"/>
    </row>
    <row r="485" spans="1:10" x14ac:dyDescent="0.25">
      <c r="A485" s="26">
        <f t="shared" si="23"/>
        <v>46369</v>
      </c>
      <c r="B485" s="27">
        <f t="shared" si="26"/>
        <v>46369</v>
      </c>
      <c r="C485" s="28">
        <f t="shared" si="24"/>
        <v>46369</v>
      </c>
      <c r="D485" s="29">
        <f t="shared" si="25"/>
        <v>51</v>
      </c>
      <c r="E485" s="35"/>
      <c r="F485" s="36"/>
      <c r="G485" s="37"/>
      <c r="H485" s="37"/>
      <c r="I485" s="33"/>
      <c r="J485" s="34"/>
    </row>
    <row r="486" spans="1:10" x14ac:dyDescent="0.25">
      <c r="A486" s="26">
        <f t="shared" si="23"/>
        <v>46370</v>
      </c>
      <c r="B486" s="27">
        <f t="shared" si="26"/>
        <v>46370</v>
      </c>
      <c r="C486" s="28">
        <f t="shared" si="24"/>
        <v>46370</v>
      </c>
      <c r="D486" s="29">
        <f t="shared" si="25"/>
        <v>51</v>
      </c>
      <c r="E486" s="35"/>
      <c r="F486" s="36"/>
      <c r="G486" s="37"/>
      <c r="H486" s="37"/>
      <c r="I486" s="33"/>
      <c r="J486" s="34"/>
    </row>
    <row r="487" spans="1:10" x14ac:dyDescent="0.25">
      <c r="A487" s="26">
        <f t="shared" si="23"/>
        <v>46371</v>
      </c>
      <c r="B487" s="27">
        <f t="shared" si="26"/>
        <v>46371</v>
      </c>
      <c r="C487" s="28">
        <f t="shared" si="24"/>
        <v>46371</v>
      </c>
      <c r="D487" s="29">
        <f t="shared" si="25"/>
        <v>51</v>
      </c>
      <c r="E487" s="35"/>
      <c r="F487" s="36"/>
      <c r="G487" s="37"/>
      <c r="H487" s="37"/>
      <c r="I487" s="33"/>
      <c r="J487" s="34"/>
    </row>
    <row r="488" spans="1:10" x14ac:dyDescent="0.25">
      <c r="A488" s="26">
        <f t="shared" si="23"/>
        <v>46372</v>
      </c>
      <c r="B488" s="27">
        <f t="shared" si="26"/>
        <v>46372</v>
      </c>
      <c r="C488" s="28">
        <f t="shared" si="24"/>
        <v>46372</v>
      </c>
      <c r="D488" s="29">
        <f t="shared" si="25"/>
        <v>51</v>
      </c>
      <c r="E488" s="35"/>
      <c r="F488" s="36"/>
      <c r="G488" s="37"/>
      <c r="H488" s="37"/>
      <c r="I488" s="33"/>
      <c r="J488" s="34"/>
    </row>
    <row r="489" spans="1:10" x14ac:dyDescent="0.25">
      <c r="A489" s="26">
        <f t="shared" si="23"/>
        <v>46373</v>
      </c>
      <c r="B489" s="27">
        <f t="shared" si="26"/>
        <v>46373</v>
      </c>
      <c r="C489" s="28">
        <f t="shared" si="24"/>
        <v>46373</v>
      </c>
      <c r="D489" s="29">
        <f t="shared" si="25"/>
        <v>51</v>
      </c>
      <c r="E489" s="35"/>
      <c r="F489" s="36"/>
      <c r="G489" s="37"/>
      <c r="H489" s="37"/>
      <c r="I489" s="33"/>
      <c r="J489" s="34"/>
    </row>
    <row r="490" spans="1:10" x14ac:dyDescent="0.25">
      <c r="A490" s="26">
        <f t="shared" si="23"/>
        <v>46374</v>
      </c>
      <c r="B490" s="27">
        <f t="shared" si="26"/>
        <v>46374</v>
      </c>
      <c r="C490" s="28">
        <f t="shared" si="24"/>
        <v>46374</v>
      </c>
      <c r="D490" s="29">
        <f t="shared" si="25"/>
        <v>51</v>
      </c>
      <c r="E490" s="35"/>
      <c r="F490" s="36"/>
      <c r="G490" s="37"/>
      <c r="H490" s="37"/>
      <c r="I490" s="33"/>
      <c r="J490" s="34"/>
    </row>
    <row r="491" spans="1:10" x14ac:dyDescent="0.25">
      <c r="A491" s="26">
        <f t="shared" si="23"/>
        <v>46375</v>
      </c>
      <c r="B491" s="27">
        <f t="shared" si="26"/>
        <v>46375</v>
      </c>
      <c r="C491" s="28">
        <f t="shared" si="24"/>
        <v>46375</v>
      </c>
      <c r="D491" s="29">
        <f t="shared" si="25"/>
        <v>51</v>
      </c>
      <c r="E491" s="35"/>
      <c r="F491" s="36"/>
      <c r="G491" s="37"/>
      <c r="H491" s="37"/>
      <c r="I491" s="33"/>
      <c r="J491" s="34"/>
    </row>
    <row r="492" spans="1:10" x14ac:dyDescent="0.25">
      <c r="A492" s="26">
        <f t="shared" si="23"/>
        <v>46376</v>
      </c>
      <c r="B492" s="27">
        <f t="shared" si="26"/>
        <v>46376</v>
      </c>
      <c r="C492" s="28">
        <f t="shared" si="24"/>
        <v>46376</v>
      </c>
      <c r="D492" s="29">
        <f t="shared" si="25"/>
        <v>52</v>
      </c>
      <c r="E492" s="35"/>
      <c r="F492" s="36"/>
      <c r="G492" s="37"/>
      <c r="H492" s="37"/>
      <c r="I492" s="33"/>
      <c r="J492" s="34"/>
    </row>
    <row r="493" spans="1:10" x14ac:dyDescent="0.25">
      <c r="A493" s="26">
        <f t="shared" si="23"/>
        <v>46377</v>
      </c>
      <c r="B493" s="27">
        <f t="shared" si="26"/>
        <v>46377</v>
      </c>
      <c r="C493" s="28">
        <f t="shared" si="24"/>
        <v>46377</v>
      </c>
      <c r="D493" s="29">
        <f t="shared" si="25"/>
        <v>52</v>
      </c>
      <c r="E493" s="35"/>
      <c r="F493" s="36"/>
      <c r="G493" s="37"/>
      <c r="H493" s="37"/>
      <c r="I493" s="33"/>
      <c r="J493" s="34"/>
    </row>
    <row r="494" spans="1:10" x14ac:dyDescent="0.25">
      <c r="A494" s="26">
        <f t="shared" si="23"/>
        <v>46378</v>
      </c>
      <c r="B494" s="27">
        <f t="shared" si="26"/>
        <v>46378</v>
      </c>
      <c r="C494" s="28">
        <f t="shared" si="24"/>
        <v>46378</v>
      </c>
      <c r="D494" s="29">
        <f t="shared" si="25"/>
        <v>52</v>
      </c>
      <c r="E494" s="35"/>
      <c r="F494" s="36"/>
      <c r="G494" s="37"/>
      <c r="H494" s="37"/>
      <c r="I494" s="33"/>
      <c r="J494" s="34"/>
    </row>
    <row r="495" spans="1:10" x14ac:dyDescent="0.25">
      <c r="A495" s="26">
        <f t="shared" si="23"/>
        <v>46379</v>
      </c>
      <c r="B495" s="27">
        <f t="shared" si="26"/>
        <v>46379</v>
      </c>
      <c r="C495" s="28">
        <f t="shared" si="24"/>
        <v>46379</v>
      </c>
      <c r="D495" s="29">
        <f t="shared" si="25"/>
        <v>52</v>
      </c>
      <c r="E495" s="35"/>
      <c r="F495" s="36"/>
      <c r="G495" s="37"/>
      <c r="H495" s="37"/>
      <c r="I495" s="33"/>
      <c r="J495" s="34"/>
    </row>
    <row r="496" spans="1:10" x14ac:dyDescent="0.25">
      <c r="A496" s="26">
        <f t="shared" si="23"/>
        <v>46380</v>
      </c>
      <c r="B496" s="27">
        <f t="shared" si="26"/>
        <v>46380</v>
      </c>
      <c r="C496" s="28">
        <f t="shared" si="24"/>
        <v>46380</v>
      </c>
      <c r="D496" s="29">
        <f t="shared" si="25"/>
        <v>52</v>
      </c>
      <c r="E496" s="35"/>
      <c r="F496" s="36"/>
      <c r="G496" s="37"/>
      <c r="H496" s="37"/>
      <c r="I496" s="33"/>
      <c r="J496" s="34"/>
    </row>
    <row r="497" spans="1:10" x14ac:dyDescent="0.25">
      <c r="A497" s="26">
        <f t="shared" si="23"/>
        <v>46381</v>
      </c>
      <c r="B497" s="27">
        <f t="shared" si="26"/>
        <v>46381</v>
      </c>
      <c r="C497" s="28">
        <f t="shared" si="24"/>
        <v>46381</v>
      </c>
      <c r="D497" s="29">
        <f t="shared" si="25"/>
        <v>52</v>
      </c>
      <c r="E497" s="35"/>
      <c r="F497" s="36"/>
      <c r="G497" s="37"/>
      <c r="H497" s="37"/>
      <c r="I497" s="33"/>
      <c r="J497" s="34"/>
    </row>
    <row r="498" spans="1:10" x14ac:dyDescent="0.25">
      <c r="A498" s="26">
        <f t="shared" si="23"/>
        <v>46382</v>
      </c>
      <c r="B498" s="27">
        <f t="shared" si="26"/>
        <v>46382</v>
      </c>
      <c r="C498" s="28">
        <f t="shared" si="24"/>
        <v>46382</v>
      </c>
      <c r="D498" s="29">
        <f t="shared" si="25"/>
        <v>52</v>
      </c>
      <c r="E498" s="35"/>
      <c r="F498" s="36"/>
      <c r="G498" s="37"/>
      <c r="H498" s="37"/>
      <c r="I498" s="33"/>
      <c r="J498" s="34"/>
    </row>
    <row r="499" spans="1:10" x14ac:dyDescent="0.25">
      <c r="A499" s="26">
        <f t="shared" si="23"/>
        <v>46383</v>
      </c>
      <c r="B499" s="27">
        <f t="shared" si="26"/>
        <v>46383</v>
      </c>
      <c r="C499" s="28">
        <f t="shared" si="24"/>
        <v>46383</v>
      </c>
      <c r="D499" s="29">
        <f t="shared" si="25"/>
        <v>53</v>
      </c>
      <c r="E499" s="35"/>
      <c r="F499" s="36"/>
      <c r="G499" s="37"/>
      <c r="H499" s="37"/>
      <c r="I499" s="33"/>
      <c r="J499" s="34"/>
    </row>
    <row r="500" spans="1:10" x14ac:dyDescent="0.25">
      <c r="A500" s="26">
        <f t="shared" si="23"/>
        <v>46384</v>
      </c>
      <c r="B500" s="27">
        <f t="shared" si="26"/>
        <v>46384</v>
      </c>
      <c r="C500" s="28">
        <f t="shared" si="24"/>
        <v>46384</v>
      </c>
      <c r="D500" s="29">
        <f t="shared" si="25"/>
        <v>53</v>
      </c>
      <c r="E500" s="35"/>
      <c r="F500" s="36"/>
      <c r="G500" s="37"/>
      <c r="H500" s="37"/>
      <c r="I500" s="33"/>
      <c r="J500" s="34"/>
    </row>
    <row r="501" spans="1:10" x14ac:dyDescent="0.25">
      <c r="A501" s="26">
        <f t="shared" si="23"/>
        <v>46385</v>
      </c>
      <c r="B501" s="27">
        <f t="shared" si="26"/>
        <v>46385</v>
      </c>
      <c r="C501" s="28">
        <f t="shared" si="24"/>
        <v>46385</v>
      </c>
      <c r="D501" s="29">
        <f t="shared" si="25"/>
        <v>53</v>
      </c>
      <c r="E501" s="35"/>
      <c r="F501" s="36"/>
      <c r="G501" s="37"/>
      <c r="H501" s="37"/>
      <c r="I501" s="33"/>
      <c r="J501" s="34"/>
    </row>
    <row r="502" spans="1:10" x14ac:dyDescent="0.25">
      <c r="A502" s="26">
        <f t="shared" ref="A502:A507" si="27">B502</f>
        <v>46386</v>
      </c>
      <c r="B502" s="27">
        <f t="shared" si="26"/>
        <v>46386</v>
      </c>
      <c r="C502" s="28">
        <f t="shared" ref="C502:C507" si="28">B502</f>
        <v>46386</v>
      </c>
      <c r="D502" s="29">
        <f t="shared" ref="D502:D507" si="29">WEEKNUM(A502)</f>
        <v>53</v>
      </c>
      <c r="E502" s="35"/>
      <c r="F502" s="36"/>
      <c r="G502" s="37"/>
      <c r="H502" s="37"/>
      <c r="I502" s="33"/>
      <c r="J502" s="34"/>
    </row>
    <row r="503" spans="1:10" x14ac:dyDescent="0.25">
      <c r="A503" s="26">
        <f t="shared" si="27"/>
        <v>46387</v>
      </c>
      <c r="B503" s="27">
        <f t="shared" si="26"/>
        <v>46387</v>
      </c>
      <c r="C503" s="28">
        <f t="shared" si="28"/>
        <v>46387</v>
      </c>
      <c r="D503" s="29">
        <f t="shared" si="29"/>
        <v>53</v>
      </c>
      <c r="E503" s="35"/>
      <c r="F503" s="36"/>
      <c r="G503" s="37"/>
      <c r="H503" s="37"/>
      <c r="I503" s="33"/>
      <c r="J503" s="34"/>
    </row>
  </sheetData>
  <autoFilter ref="A3:H503" xr:uid="{86AE9742-9EED-4547-842A-F98704D27CC9}"/>
  <conditionalFormatting sqref="B4:B365 B368:B503">
    <cfRule type="expression" dxfId="724" priority="721">
      <formula>OR($E4=VACACIONES)</formula>
    </cfRule>
  </conditionalFormatting>
  <conditionalFormatting sqref="B366:B367">
    <cfRule type="expression" dxfId="723" priority="724">
      <formula>OR(#REF!=VACACIONES)</formula>
    </cfRule>
  </conditionalFormatting>
  <conditionalFormatting sqref="B4:C41 D5:D41 B42:D365 B368:D503 E226">
    <cfRule type="expression" dxfId="722" priority="720">
      <formula>OR($E4="VACACIONES",$E4="ENFERMEDAD")</formula>
    </cfRule>
  </conditionalFormatting>
  <conditionalFormatting sqref="B4:D503 E207:E242">
    <cfRule type="timePeriod" dxfId="721" priority="722" timePeriod="today">
      <formula>FLOOR(B4,1)=TODAY()</formula>
    </cfRule>
  </conditionalFormatting>
  <conditionalFormatting sqref="B366:D367">
    <cfRule type="expression" dxfId="720" priority="725">
      <formula>OR(#REF!="VACACIONES",#REF!="ENFERMEDAD")</formula>
    </cfRule>
  </conditionalFormatting>
  <conditionalFormatting sqref="C4:D503">
    <cfRule type="expression" dxfId="719" priority="719">
      <formula>OR(WEEKDAY(B4,1)=7,WEEKDAY(B4,1)=1)</formula>
    </cfRule>
  </conditionalFormatting>
  <conditionalFormatting sqref="D4:H4">
    <cfRule type="expression" dxfId="718" priority="687">
      <formula>OR($E4="VACACIONES",$E4="ENFERMEDAD")</formula>
    </cfRule>
  </conditionalFormatting>
  <conditionalFormatting sqref="E4">
    <cfRule type="timePeriod" dxfId="717" priority="688" timePeriod="today">
      <formula>FLOOR(E4,1)=TODAY()</formula>
    </cfRule>
  </conditionalFormatting>
  <conditionalFormatting sqref="E5:E6">
    <cfRule type="expression" dxfId="716" priority="701">
      <formula>OR($E5="VACACIONES",$E5="ENFERMEDAD")</formula>
    </cfRule>
    <cfRule type="timePeriod" dxfId="715" priority="702" timePeriod="today">
      <formula>FLOOR(E5,1)=TODAY()</formula>
    </cfRule>
  </conditionalFormatting>
  <conditionalFormatting sqref="E7 E14 E21 E32 E44 E53 E63 E77 E89 E99 E148:E150 E158 E168:E169 E247 E301:E314 E353:E363 E374 E380 E387 E394 E401 E408 E414 E421 E428 E435 E442">
    <cfRule type="timePeriod" dxfId="714" priority="718" timePeriod="today">
      <formula>FLOOR(E7,1)=TODAY()</formula>
    </cfRule>
  </conditionalFormatting>
  <conditionalFormatting sqref="E8">
    <cfRule type="expression" dxfId="713" priority="697">
      <formula>OR($E8="VACACIONES",$E8="ENFERMEDAD")</formula>
    </cfRule>
    <cfRule type="timePeriod" dxfId="712" priority="698" timePeriod="today">
      <formula>FLOOR(E8,1)=TODAY()</formula>
    </cfRule>
  </conditionalFormatting>
  <conditionalFormatting sqref="E9">
    <cfRule type="timePeriod" dxfId="711" priority="692" timePeriod="today">
      <formula>FLOOR(E9,1)=TODAY()</formula>
    </cfRule>
  </conditionalFormatting>
  <conditionalFormatting sqref="E10:E13">
    <cfRule type="expression" dxfId="710" priority="693">
      <formula>OR($E10="VACACIONES",$E10="ENFERMEDAD")</formula>
    </cfRule>
    <cfRule type="timePeriod" dxfId="709" priority="694" timePeriod="today">
      <formula>FLOOR(E10,1)=TODAY()</formula>
    </cfRule>
  </conditionalFormatting>
  <conditionalFormatting sqref="E15:E17">
    <cfRule type="timePeriod" dxfId="708" priority="681" timePeriod="today">
      <formula>FLOOR(E15,1)=TODAY()</formula>
    </cfRule>
  </conditionalFormatting>
  <conditionalFormatting sqref="E17:E18">
    <cfRule type="timePeriod" dxfId="707" priority="683" timePeriod="today">
      <formula>FLOOR(E17,1)=TODAY()</formula>
    </cfRule>
  </conditionalFormatting>
  <conditionalFormatting sqref="E18">
    <cfRule type="expression" dxfId="706" priority="682">
      <formula>OR($E18="VACACIONES",$E18="ENFERMEDAD")</formula>
    </cfRule>
  </conditionalFormatting>
  <conditionalFormatting sqref="E19">
    <cfRule type="timePeriod" dxfId="705" priority="676" timePeriod="today">
      <formula>FLOOR(E19,1)=TODAY()</formula>
    </cfRule>
  </conditionalFormatting>
  <conditionalFormatting sqref="E20 E31 E43 E51:E52 E62 E76 E88 E98 E106 E119:E121 E155 E200:E202 E243:E245 E260:E263 E279 E326:E327 E337:E349 E351:E352 E364:E373 E379 E386 E393 E400 E407 E413 E420 E427 E434 E441 E448 E455 E462 E469 E476 E483 E490 E497 E226">
    <cfRule type="timePeriod" dxfId="704" priority="714" timePeriod="today">
      <formula>FLOOR(E20,1)=TODAY()</formula>
    </cfRule>
  </conditionalFormatting>
  <conditionalFormatting sqref="E22">
    <cfRule type="timePeriod" dxfId="703" priority="666" timePeriod="today">
      <formula>FLOOR(E22,1)=TODAY()</formula>
    </cfRule>
  </conditionalFormatting>
  <conditionalFormatting sqref="E23">
    <cfRule type="timePeriod" dxfId="702" priority="669" timePeriod="today">
      <formula>FLOOR(E23,1)=TODAY()</formula>
    </cfRule>
  </conditionalFormatting>
  <conditionalFormatting sqref="E24:E25">
    <cfRule type="timePeriod" dxfId="701" priority="663" timePeriod="today">
      <formula>FLOOR(E24,1)=TODAY()</formula>
    </cfRule>
  </conditionalFormatting>
  <conditionalFormatting sqref="E26:E30">
    <cfRule type="timePeriod" dxfId="700" priority="668" timePeriod="today">
      <formula>FLOOR(E26,1)=TODAY()</formula>
    </cfRule>
  </conditionalFormatting>
  <conditionalFormatting sqref="E34:E42">
    <cfRule type="timePeriod" dxfId="699" priority="657" timePeriod="today">
      <formula>FLOOR(E34,1)=TODAY()</formula>
    </cfRule>
  </conditionalFormatting>
  <conditionalFormatting sqref="E49:E50">
    <cfRule type="timePeriod" dxfId="698" priority="649" timePeriod="today">
      <formula>FLOOR(E49,1)=TODAY()</formula>
    </cfRule>
  </conditionalFormatting>
  <conditionalFormatting sqref="E57:E61">
    <cfRule type="timePeriod" dxfId="697" priority="639" timePeriod="today">
      <formula>FLOOR(E57,1)=TODAY()</formula>
    </cfRule>
  </conditionalFormatting>
  <conditionalFormatting sqref="E64:E71 E110:E118 E122:E129 E90:E97 E100:E105 E132:E133 E139:E147 E151:E154 E170:E177 E181:E184 E194:E196 E198:E199 E249:E251 E253:E257 E265:E270 E273:E278 E287:E294 E298:E299 E318:E319 E325 E328:E336 E350 E375:E378 E381:E385 E388:E392 E395:E399 E402:E406 E409:E412 E415:E419 E422:E426 E429:E433 E436:E440 E443:E447 E449:E454 E456:E461 E463:E468 E470:E475 E477:E482 E484:E489 E491:E496 E498:E503 E78:E87 E33 E45:E48 E54:E56 E159:E166 E190:E192">
    <cfRule type="timePeriod" dxfId="696" priority="712" timePeriod="today">
      <formula>FLOOR(E33,1)=TODAY()</formula>
    </cfRule>
  </conditionalFormatting>
  <conditionalFormatting sqref="E72:E75">
    <cfRule type="timePeriod" dxfId="695" priority="627" timePeriod="today">
      <formula>FLOOR(E72,1)=TODAY()</formula>
    </cfRule>
  </conditionalFormatting>
  <conditionalFormatting sqref="E107">
    <cfRule type="timePeriod" dxfId="694" priority="597" timePeriod="today">
      <formula>FLOOR(E107,1)=TODAY()</formula>
    </cfRule>
  </conditionalFormatting>
  <conditionalFormatting sqref="E108:E109">
    <cfRule type="timePeriod" dxfId="693" priority="592" timePeriod="today">
      <formula>FLOOR(E108,1)=TODAY()</formula>
    </cfRule>
  </conditionalFormatting>
  <conditionalFormatting sqref="E108:E110">
    <cfRule type="expression" dxfId="692" priority="591">
      <formula>OR($E108="VACACIONES",$E108="ENFERMEDAD")</formula>
    </cfRule>
  </conditionalFormatting>
  <conditionalFormatting sqref="E119:E121 E88 E98 E106 E20 E31 E43 E51:E52 E62 E76 E155 E243:E245 E337 E351 E364 E373 E379 E386 E393 E400 E407 E413 E420 E427 E434 E441 E448 E455 E462 E469 E476 E483 E490 E497 E200:E202 E260:E263 E279 E326">
    <cfRule type="expression" dxfId="691" priority="713">
      <formula>OR($E20="VACACIONES",$E20="ENFERMEDAD")</formula>
    </cfRule>
  </conditionalFormatting>
  <conditionalFormatting sqref="E130:E131">
    <cfRule type="expression" dxfId="690" priority="579">
      <formula>OR($E130="VACACIONES",$E130="ENFERMEDAD")</formula>
    </cfRule>
    <cfRule type="timePeriod" dxfId="689" priority="580" timePeriod="today">
      <formula>FLOOR(E130,1)=TODAY()</formula>
    </cfRule>
  </conditionalFormatting>
  <conditionalFormatting sqref="E134:E136">
    <cfRule type="expression" dxfId="688" priority="574">
      <formula>OR($E134="VACACIONES",$E134="ENFERMEDAD")</formula>
    </cfRule>
    <cfRule type="timePeriod" dxfId="687" priority="575" timePeriod="today">
      <formula>FLOOR(E134,1)=TODAY()</formula>
    </cfRule>
  </conditionalFormatting>
  <conditionalFormatting sqref="E137:E138">
    <cfRule type="timePeriod" dxfId="686" priority="573" timePeriod="today">
      <formula>FLOOR(E137,1)=TODAY()</formula>
    </cfRule>
  </conditionalFormatting>
  <conditionalFormatting sqref="E156:E157">
    <cfRule type="timePeriod" dxfId="685" priority="538" timePeriod="today">
      <formula>FLOOR(E156,1)=TODAY()</formula>
    </cfRule>
  </conditionalFormatting>
  <conditionalFormatting sqref="E164 E165:F166 E206:F251 E327:F365 E368:F503">
    <cfRule type="expression" dxfId="684" priority="510">
      <formula>OR(WEEKDAY(B164,1)=7,WEEKDAY(B164,1)=1)</formula>
    </cfRule>
  </conditionalFormatting>
  <conditionalFormatting sqref="E167 E203:E205">
    <cfRule type="expression" dxfId="683" priority="500">
      <formula>OR(WEEKDAY(B167,1)=7,WEEKDAY(B167,1)=1)</formula>
    </cfRule>
    <cfRule type="timePeriod" dxfId="682" priority="501" timePeriod="today">
      <formula>FLOOR(E167,1)=TODAY()</formula>
    </cfRule>
  </conditionalFormatting>
  <conditionalFormatting sqref="E168:E170">
    <cfRule type="expression" dxfId="681" priority="484">
      <formula>OR(WEEKDAY(B168,1)=7,WEEKDAY(B168,1)=1)</formula>
    </cfRule>
  </conditionalFormatting>
  <conditionalFormatting sqref="E175:E176">
    <cfRule type="expression" dxfId="680" priority="469">
      <formula>OR(WEEKDAY(B175,1)=7,WEEKDAY(B175,1)=1)</formula>
    </cfRule>
  </conditionalFormatting>
  <conditionalFormatting sqref="E178">
    <cfRule type="timePeriod" dxfId="679" priority="461" timePeriod="today">
      <formula>FLOOR(E178,1)=TODAY()</formula>
    </cfRule>
  </conditionalFormatting>
  <conditionalFormatting sqref="E178:E179">
    <cfRule type="expression" dxfId="678" priority="460">
      <formula>OR(WEEKDAY(B178,1)=7,WEEKDAY(B178,1)=1)</formula>
    </cfRule>
  </conditionalFormatting>
  <conditionalFormatting sqref="E179 E180:H180">
    <cfRule type="expression" dxfId="677" priority="485">
      <formula>OR($E179="VACACIONES",$E179="ENFERMEDAD")</formula>
    </cfRule>
  </conditionalFormatting>
  <conditionalFormatting sqref="E179:E180">
    <cfRule type="timePeriod" dxfId="676" priority="486" timePeriod="today">
      <formula>FLOOR(E179,1)=TODAY()</formula>
    </cfRule>
  </conditionalFormatting>
  <conditionalFormatting sqref="E184">
    <cfRule type="expression" dxfId="675" priority="433">
      <formula>OR(WEEKDAY(B184,1)=7,WEEKDAY(B184,1)=1)</formula>
    </cfRule>
  </conditionalFormatting>
  <conditionalFormatting sqref="E185">
    <cfRule type="expression" dxfId="674" priority="398">
      <formula>OR(WEEKDAY(B185,1)=7,WEEKDAY(B185,1)=1)</formula>
    </cfRule>
    <cfRule type="expression" dxfId="673" priority="399">
      <formula>OR($E185="VACACIONES",$E185="ENFERMEDAD")</formula>
    </cfRule>
    <cfRule type="timePeriod" dxfId="672" priority="400" timePeriod="today">
      <formula>FLOOR(E185,1)=TODAY()</formula>
    </cfRule>
  </conditionalFormatting>
  <conditionalFormatting sqref="E186:E187">
    <cfRule type="timePeriod" dxfId="671" priority="392" timePeriod="today">
      <formula>FLOOR(E186,1)=TODAY()</formula>
    </cfRule>
  </conditionalFormatting>
  <conditionalFormatting sqref="E188">
    <cfRule type="expression" dxfId="670" priority="424">
      <formula>OR(WEEKDAY(B188,1)=7,WEEKDAY(B188,1)=1)</formula>
    </cfRule>
    <cfRule type="timePeriod" dxfId="669" priority="425" timePeriod="today">
      <formula>FLOOR(E188,1)=TODAY()</formula>
    </cfRule>
  </conditionalFormatting>
  <conditionalFormatting sqref="E189">
    <cfRule type="timePeriod" dxfId="668" priority="386" timePeriod="today">
      <formula>FLOOR(E189,1)=TODAY()</formula>
    </cfRule>
  </conditionalFormatting>
  <conditionalFormatting sqref="E190:E192">
    <cfRule type="expression" dxfId="667" priority="415">
      <formula>OR(WEEKDAY(B190,1)=7,WEEKDAY(B190,1)=1)</formula>
    </cfRule>
  </conditionalFormatting>
  <conditionalFormatting sqref="E193">
    <cfRule type="timePeriod" dxfId="666" priority="376" timePeriod="today">
      <formula>FLOOR(E193,1)=TODAY()</formula>
    </cfRule>
  </conditionalFormatting>
  <conditionalFormatting sqref="E197">
    <cfRule type="expression" dxfId="665" priority="367">
      <formula>OR(WEEKDAY(B197,1)=7,WEEKDAY(B197,1)=1)</formula>
    </cfRule>
    <cfRule type="timePeriod" dxfId="664" priority="368" timePeriod="today">
      <formula>FLOOR(E197,1)=TODAY()</formula>
    </cfRule>
  </conditionalFormatting>
  <conditionalFormatting sqref="E206">
    <cfRule type="timePeriod" dxfId="663" priority="343" timePeriod="today">
      <formula>FLOOR(E206,1)=TODAY()</formula>
    </cfRule>
  </conditionalFormatting>
  <conditionalFormatting sqref="E223:E224 E226:E231 E233:E235 E360:E362 E363:H363 E368:F369 E370:H372">
    <cfRule type="expression" dxfId="662" priority="327">
      <formula>OR($G223="48VACACI",$G223="49ENFERM")</formula>
    </cfRule>
  </conditionalFormatting>
  <conditionalFormatting sqref="E227:E231">
    <cfRule type="expression" dxfId="661" priority="313">
      <formula>OR($E227="VACACIONES",$E227="ENFERMEDAD")</formula>
    </cfRule>
    <cfRule type="timePeriod" dxfId="660" priority="314" timePeriod="today">
      <formula>FLOOR(E227,1)=TODAY()</formula>
    </cfRule>
  </conditionalFormatting>
  <conditionalFormatting sqref="E233">
    <cfRule type="expression" dxfId="659" priority="320">
      <formula>OR($E233="VACACIONES",$E233="ENFERMEDAD")</formula>
    </cfRule>
    <cfRule type="timePeriod" dxfId="658" priority="321" timePeriod="today">
      <formula>FLOOR(E233,1)=TODAY()</formula>
    </cfRule>
  </conditionalFormatting>
  <conditionalFormatting sqref="E233:E235 E226:E231 E223:E224 E360:E362 E363:F363">
    <cfRule type="expression" dxfId="657" priority="325">
      <formula>OR(WEEKDAY(B223,1)=5,WEEKDAY(B223,1)=5)</formula>
    </cfRule>
    <cfRule type="expression" dxfId="656" priority="326">
      <formula>OR(WEEKDAY(B223,1)=3,WEEKDAY(B223,1)=3)</formula>
    </cfRule>
  </conditionalFormatting>
  <conditionalFormatting sqref="E238:E239">
    <cfRule type="expression" dxfId="655" priority="290">
      <formula>OR($E238="VACACIONES",$E238="ENFERMEDAD")</formula>
    </cfRule>
    <cfRule type="timePeriod" dxfId="654" priority="291" timePeriod="today">
      <formula>FLOOR(E238,1)=TODAY()</formula>
    </cfRule>
    <cfRule type="expression" dxfId="653" priority="292">
      <formula>OR(WEEKDAY(B238,1)=5,WEEKDAY(B238,1)=5)</formula>
    </cfRule>
    <cfRule type="expression" dxfId="652" priority="293">
      <formula>OR(WEEKDAY(B238,1)=3,WEEKDAY(B238,1)=3)</formula>
    </cfRule>
  </conditionalFormatting>
  <conditionalFormatting sqref="E246">
    <cfRule type="timePeriod" dxfId="651" priority="275" timePeriod="today">
      <formula>FLOOR(E246,1)=TODAY()</formula>
    </cfRule>
  </conditionalFormatting>
  <conditionalFormatting sqref="E248">
    <cfRule type="timePeriod" dxfId="650" priority="300" timePeriod="today">
      <formula>FLOOR(E248,1)=TODAY()</formula>
    </cfRule>
  </conditionalFormatting>
  <conditionalFormatting sqref="E249:E250">
    <cfRule type="expression" dxfId="649" priority="284">
      <formula>OR(WEEKDAY(B249,1)=5,WEEKDAY(B249,1)=5)</formula>
    </cfRule>
    <cfRule type="expression" dxfId="648" priority="285">
      <formula>OR(WEEKDAY(B249,1)=3,WEEKDAY(B249,1)=3)</formula>
    </cfRule>
    <cfRule type="expression" dxfId="647" priority="286">
      <formula>OR($G249="48VACACI",$G249="49ENFERM")</formula>
    </cfRule>
    <cfRule type="timePeriod" dxfId="646" priority="289" timePeriod="today">
      <formula>FLOOR(E249,1)=TODAY()</formula>
    </cfRule>
  </conditionalFormatting>
  <conditionalFormatting sqref="E252">
    <cfRule type="expression" dxfId="645" priority="279">
      <formula>OR($E252="VACACIONES",$E252="ENFERMEDAD")</formula>
    </cfRule>
    <cfRule type="timePeriod" dxfId="644" priority="280" timePeriod="today">
      <formula>FLOOR(E252,1)=TODAY()</formula>
    </cfRule>
  </conditionalFormatting>
  <conditionalFormatting sqref="E258:E259">
    <cfRule type="timePeriod" dxfId="643" priority="237" timePeriod="today">
      <formula>FLOOR(E258,1)=TODAY()</formula>
    </cfRule>
  </conditionalFormatting>
  <conditionalFormatting sqref="E264">
    <cfRule type="timePeriod" dxfId="642" priority="231" timePeriod="today">
      <formula>FLOOR(E264,1)=TODAY()</formula>
    </cfRule>
  </conditionalFormatting>
  <conditionalFormatting sqref="E271:E272">
    <cfRule type="timePeriod" dxfId="641" priority="181" timePeriod="today">
      <formula>FLOOR(E271,1)=TODAY()</formula>
    </cfRule>
  </conditionalFormatting>
  <conditionalFormatting sqref="E280:E281">
    <cfRule type="expression" dxfId="640" priority="147">
      <formula>OR(WEEKDAY(B280,1)=5,WEEKDAY(B280,1)=5)</formula>
    </cfRule>
    <cfRule type="expression" dxfId="639" priority="148">
      <formula>OR(WEEKDAY(B280,1)=3,WEEKDAY(B280,1)=3)</formula>
    </cfRule>
    <cfRule type="expression" dxfId="638" priority="149">
      <formula>OR($G280="48VACACI",$G280="49ENFERM")</formula>
    </cfRule>
    <cfRule type="timePeriod" dxfId="637" priority="150" timePeriod="today">
      <formula>FLOOR(E280,1)=TODAY()</formula>
    </cfRule>
  </conditionalFormatting>
  <conditionalFormatting sqref="E282:E285">
    <cfRule type="expression" dxfId="636" priority="136">
      <formula>OR(WEEKDAY(B282,1)=5,WEEKDAY(B282,1)=5)</formula>
    </cfRule>
    <cfRule type="expression" dxfId="635" priority="137">
      <formula>OR(WEEKDAY(B282,1)=3,WEEKDAY(B282,1)=3)</formula>
    </cfRule>
    <cfRule type="expression" dxfId="634" priority="138">
      <formula>OR($G282="48VACACI",$G282="49ENFERM")</formula>
    </cfRule>
    <cfRule type="timePeriod" dxfId="633" priority="139" timePeriod="today">
      <formula>FLOOR(E282,1)=TODAY()</formula>
    </cfRule>
  </conditionalFormatting>
  <conditionalFormatting sqref="E286">
    <cfRule type="expression" dxfId="632" priority="127">
      <formula>OR(WEEKDAY(B286,1)=5,WEEKDAY(B286,1)=5)</formula>
    </cfRule>
    <cfRule type="expression" dxfId="631" priority="128">
      <formula>OR(WEEKDAY(B286,1)=3,WEEKDAY(B286,1)=3)</formula>
    </cfRule>
    <cfRule type="expression" dxfId="630" priority="129">
      <formula>OR($G286="48VACACI",$G286="49ENFERM")</formula>
    </cfRule>
    <cfRule type="timePeriod" dxfId="629" priority="130" timePeriod="today">
      <formula>FLOOR(E286,1)=TODAY()</formula>
    </cfRule>
  </conditionalFormatting>
  <conditionalFormatting sqref="E289:E297">
    <cfRule type="expression" dxfId="628" priority="110">
      <formula>OR($E289="VACACIONES",$E289="ENFERMEDAD")</formula>
    </cfRule>
  </conditionalFormatting>
  <conditionalFormatting sqref="E295:E297">
    <cfRule type="timePeriod" dxfId="627" priority="111" timePeriod="today">
      <formula>FLOOR(E295,1)=TODAY()</formula>
    </cfRule>
  </conditionalFormatting>
  <conditionalFormatting sqref="E300">
    <cfRule type="expression" dxfId="626" priority="95">
      <formula>OR($E300="VACACIONES",$E300="ENFERMEDAD")</formula>
    </cfRule>
    <cfRule type="timePeriod" dxfId="625" priority="96" timePeriod="today">
      <formula>FLOOR(E300,1)=TODAY()</formula>
    </cfRule>
  </conditionalFormatting>
  <conditionalFormatting sqref="E307:E309">
    <cfRule type="expression" dxfId="624" priority="68">
      <formula>OR(WEEKDAY(B307,1)=7,WEEKDAY(B307,1)=1)</formula>
    </cfRule>
    <cfRule type="expression" dxfId="623" priority="74">
      <formula>OR($E307="VACACIONES",$E307="ENFERMEDAD")</formula>
    </cfRule>
  </conditionalFormatting>
  <conditionalFormatting sqref="E312:E317">
    <cfRule type="expression" dxfId="622" priority="57">
      <formula>OR($E312="VACACIONES",$E312="ENFERMEDAD")</formula>
    </cfRule>
  </conditionalFormatting>
  <conditionalFormatting sqref="E315:E317">
    <cfRule type="timePeriod" dxfId="621" priority="58" timePeriod="today">
      <formula>FLOOR(E315,1)=TODAY()</formula>
    </cfRule>
  </conditionalFormatting>
  <conditionalFormatting sqref="E320:E324">
    <cfRule type="expression" dxfId="620" priority="49">
      <formula>OR($E320="VACACIONES",$E320="ENFERMEDAD")</formula>
    </cfRule>
    <cfRule type="timePeriod" dxfId="619" priority="50" timePeriod="today">
      <formula>FLOOR(E320,1)=TODAY()</formula>
    </cfRule>
  </conditionalFormatting>
  <conditionalFormatting sqref="E327">
    <cfRule type="expression" dxfId="618" priority="39">
      <formula>OR($E327="VACACIONES",$E327="ENFERMEDAD")</formula>
    </cfRule>
  </conditionalFormatting>
  <conditionalFormatting sqref="E338:E349">
    <cfRule type="expression" dxfId="617" priority="32">
      <formula>OR($E338="VACACIONES",$E338="ENFERMEDAD")</formula>
    </cfRule>
  </conditionalFormatting>
  <conditionalFormatting sqref="E352">
    <cfRule type="expression" dxfId="616" priority="27">
      <formula>OR($E352="VACACIONES",$E352="ENFERMEDAD")</formula>
    </cfRule>
  </conditionalFormatting>
  <conditionalFormatting sqref="E4:F18 E81:F107">
    <cfRule type="expression" dxfId="615" priority="690">
      <formula>OR(WEEKDAY(B4,1)=7,WEEKDAY(B4,1)=1)</formula>
    </cfRule>
  </conditionalFormatting>
  <conditionalFormatting sqref="E19:F19">
    <cfRule type="expression" dxfId="614" priority="673">
      <formula>OR(WEEKDAY(B19,1)=5,WEEKDAY(B19,1)=5)</formula>
    </cfRule>
    <cfRule type="expression" dxfId="613" priority="674">
      <formula>OR(WEEKDAY(B19,1)=3,WEEKDAY(B19,1)=3)</formula>
    </cfRule>
    <cfRule type="expression" dxfId="612" priority="675">
      <formula>OR($G19="48VACACI",$G19="49ENFERM")</formula>
    </cfRule>
  </conditionalFormatting>
  <conditionalFormatting sqref="E19:F21">
    <cfRule type="expression" dxfId="611" priority="677">
      <formula>OR(WEEKDAY(B19,1)=7,WEEKDAY(B19,1)=1)</formula>
    </cfRule>
  </conditionalFormatting>
  <conditionalFormatting sqref="E22:F23">
    <cfRule type="expression" dxfId="610" priority="667">
      <formula>OR(WEEKDAY(B22,1)=7,WEEKDAY(B22,1)=1)</formula>
    </cfRule>
  </conditionalFormatting>
  <conditionalFormatting sqref="E22:F30 E122:F129 E205:F205 E221:F240">
    <cfRule type="expression" dxfId="609" priority="660">
      <formula>OR(WEEKDAY(B22,1)=5,WEEKDAY(B22,1)=5)</formula>
    </cfRule>
    <cfRule type="expression" dxfId="608" priority="661">
      <formula>OR(WEEKDAY(B22,1)=3,WEEKDAY(B22,1)=3)</formula>
    </cfRule>
  </conditionalFormatting>
  <conditionalFormatting sqref="E24:F33">
    <cfRule type="expression" dxfId="607" priority="665">
      <formula>OR(WEEKDAY(B24,1)=7,WEEKDAY(B24,1)=1)</formula>
    </cfRule>
  </conditionalFormatting>
  <conditionalFormatting sqref="E33:F42">
    <cfRule type="expression" dxfId="606" priority="652">
      <formula>OR(WEEKDAY(B33,1)=5,WEEKDAY(B33,1)=5)</formula>
    </cfRule>
    <cfRule type="expression" dxfId="605" priority="653">
      <formula>OR(WEEKDAY(B33,1)=3,WEEKDAY(B33,1)=3)</formula>
    </cfRule>
  </conditionalFormatting>
  <conditionalFormatting sqref="E34:F48">
    <cfRule type="expression" dxfId="604" priority="656">
      <formula>OR(WEEKDAY(B34,1)=7,WEEKDAY(B34,1)=1)</formula>
    </cfRule>
  </conditionalFormatting>
  <conditionalFormatting sqref="E45:F50">
    <cfRule type="expression" dxfId="603" priority="644">
      <formula>OR(WEEKDAY(B45,1)=5,WEEKDAY(B45,1)=5)</formula>
    </cfRule>
    <cfRule type="expression" dxfId="602" priority="645">
      <formula>OR(WEEKDAY(B45,1)=3,WEEKDAY(B45,1)=3)</formula>
    </cfRule>
  </conditionalFormatting>
  <conditionalFormatting sqref="E49:F50">
    <cfRule type="expression" dxfId="601" priority="648">
      <formula>OR(WEEKDAY(B49,1)=7,WEEKDAY(B49,1)=1)</formula>
    </cfRule>
  </conditionalFormatting>
  <conditionalFormatting sqref="E51:F55">
    <cfRule type="expression" dxfId="600" priority="643">
      <formula>OR(WEEKDAY(B51,1)=7,WEEKDAY(B51,1)=1)</formula>
    </cfRule>
  </conditionalFormatting>
  <conditionalFormatting sqref="E54:F61">
    <cfRule type="expression" dxfId="599" priority="634">
      <formula>OR(WEEKDAY(B54,1)=5,WEEKDAY(B54,1)=5)</formula>
    </cfRule>
    <cfRule type="expression" dxfId="598" priority="635">
      <formula>OR(WEEKDAY(B54,1)=3,WEEKDAY(B54,1)=3)</formula>
    </cfRule>
  </conditionalFormatting>
  <conditionalFormatting sqref="E56:F69">
    <cfRule type="expression" dxfId="597" priority="638">
      <formula>OR(WEEKDAY(B56,1)=7,WEEKDAY(B56,1)=1)</formula>
    </cfRule>
  </conditionalFormatting>
  <conditionalFormatting sqref="E64:F75">
    <cfRule type="expression" dxfId="596" priority="622">
      <formula>OR(WEEKDAY(B64,1)=5,WEEKDAY(B64,1)=5)</formula>
    </cfRule>
    <cfRule type="expression" dxfId="595" priority="623">
      <formula>OR(WEEKDAY(B64,1)=3,WEEKDAY(B64,1)=3)</formula>
    </cfRule>
  </conditionalFormatting>
  <conditionalFormatting sqref="E72:F79">
    <cfRule type="expression" dxfId="594" priority="626">
      <formula>OR(WEEKDAY(B72,1)=7,WEEKDAY(B72,1)=1)</formula>
    </cfRule>
  </conditionalFormatting>
  <conditionalFormatting sqref="E78:F87 E15:F17">
    <cfRule type="expression" dxfId="593" priority="678">
      <formula>OR(WEEKDAY(B15,1)=5,WEEKDAY(B15,1)=5)</formula>
    </cfRule>
    <cfRule type="expression" dxfId="592" priority="679">
      <formula>OR(WEEKDAY(B15,1)=3,WEEKDAY(B15,1)=3)</formula>
    </cfRule>
  </conditionalFormatting>
  <conditionalFormatting sqref="E80:F80">
    <cfRule type="expression" dxfId="591" priority="616">
      <formula>OR(WEEKDAY(B80,1)=7,WEEKDAY(B80,1)=1)</formula>
    </cfRule>
  </conditionalFormatting>
  <conditionalFormatting sqref="E90:F90 E92:F97 E100:F102 E103:E104 E105:F105 E114:F115 E132:F133 E139:F145 E151:F152 E207:F208 E223 E249:F249 E250:E251 E328:F336 E350:F350 E354 E355:F355 E356:E359 E375:F378 E381:F385 E388:F392 E395:F399 E402:F406 E409:F412 E415:F419 E422:F426 E429:F433 E436:F440 E443:F447 E449:F454 E456:F461 E463:F468 E470:F475 E477:F482 E484:F489 E491:F496 E498:F503 E170 E171:F172 E176 E181:F182 E194:F195 E199 E253:F254 E255:E257 E265:E267 E268:F269 E270 E273:E276 E277:F278 E287:F288 E298:F299 E302:E306 E318:F319 E310:F311 E325:F325 E111:F112 E113 E116:E118">
    <cfRule type="expression" dxfId="590" priority="707">
      <formula>OR(WEEKDAY(B90,1)=5,WEEKDAY(B90,1)=5)</formula>
    </cfRule>
    <cfRule type="expression" dxfId="589" priority="708">
      <formula>OR(WEEKDAY(B90,1)=3,WEEKDAY(B90,1)=3)</formula>
    </cfRule>
  </conditionalFormatting>
  <conditionalFormatting sqref="E91:F91">
    <cfRule type="expression" dxfId="588" priority="608">
      <formula>OR(WEEKDAY(B91,1)=5,WEEKDAY(B91,1)=5)</formula>
    </cfRule>
    <cfRule type="expression" dxfId="587" priority="609">
      <formula>OR(WEEKDAY(B91,1)=3,WEEKDAY(B91,1)=3)</formula>
    </cfRule>
  </conditionalFormatting>
  <conditionalFormatting sqref="E107:F107">
    <cfRule type="expression" dxfId="586" priority="593">
      <formula>OR(WEEKDAY(B107,1)=5,WEEKDAY(B107,1)=5)</formula>
    </cfRule>
    <cfRule type="expression" dxfId="585" priority="594">
      <formula>OR(WEEKDAY(B107,1)=3,WEEKDAY(B107,1)=3)</formula>
    </cfRule>
  </conditionalFormatting>
  <conditionalFormatting sqref="E108:F129 E70:E71">
    <cfRule type="expression" dxfId="584" priority="710">
      <formula>OR(WEEKDAY(B70,1)=7,WEEKDAY(B70,1)=1)</formula>
    </cfRule>
  </conditionalFormatting>
  <conditionalFormatting sqref="E115:F115">
    <cfRule type="expression" dxfId="583" priority="585">
      <formula>OR(WEEKDAY(B115,1)=7,WEEKDAY(B115,1)=1)</formula>
    </cfRule>
  </conditionalFormatting>
  <conditionalFormatting sqref="E126:F126">
    <cfRule type="expression" dxfId="582" priority="565">
      <formula>OR(WEEKDAY(B126,1)=7,WEEKDAY(B126,1)=1)</formula>
    </cfRule>
  </conditionalFormatting>
  <conditionalFormatting sqref="E130:F133">
    <cfRule type="expression" dxfId="581" priority="583">
      <formula>OR(WEEKDAY(B130,1)=7,WEEKDAY(B130,1)=1)</formula>
    </cfRule>
  </conditionalFormatting>
  <conditionalFormatting sqref="E134:F136">
    <cfRule type="expression" dxfId="580" priority="578">
      <formula>OR(WEEKDAY(B134,1)=7,WEEKDAY(B134,1)=1)</formula>
    </cfRule>
  </conditionalFormatting>
  <conditionalFormatting sqref="E137:F145">
    <cfRule type="expression" dxfId="579" priority="559">
      <formula>OR(WEEKDAY(B137,1)=7,WEEKDAY(B137,1)=1)</formula>
    </cfRule>
  </conditionalFormatting>
  <conditionalFormatting sqref="E142:F142">
    <cfRule type="expression" dxfId="578" priority="556">
      <formula>OR(WEEKDAY(B142,1)=7,WEEKDAY(B142,1)=1)</formula>
    </cfRule>
    <cfRule type="expression" dxfId="577" priority="557">
      <formula>OR(WEEKDAY(B142,1)=5,WEEKDAY(B142,1)=5)</formula>
    </cfRule>
    <cfRule type="expression" dxfId="576" priority="558">
      <formula>OR(WEEKDAY(B142,1)=3,WEEKDAY(B142,1)=3)</formula>
    </cfRule>
  </conditionalFormatting>
  <conditionalFormatting sqref="E146:F147">
    <cfRule type="expression" dxfId="575" priority="546">
      <formula>OR(WEEKDAY(B146,1)=5,WEEKDAY(B146,1)=5)</formula>
    </cfRule>
    <cfRule type="expression" dxfId="574" priority="547">
      <formula>OR(WEEKDAY(B146,1)=3,WEEKDAY(B146,1)=3)</formula>
    </cfRule>
    <cfRule type="expression" dxfId="573" priority="555">
      <formula>OR(WEEKDAY(B146,1)=7,WEEKDAY(B146,1)=1)</formula>
    </cfRule>
  </conditionalFormatting>
  <conditionalFormatting sqref="E148:F155">
    <cfRule type="expression" dxfId="572" priority="542">
      <formula>OR(WEEKDAY(B148,1)=7,WEEKDAY(B148,1)=1)</formula>
    </cfRule>
  </conditionalFormatting>
  <conditionalFormatting sqref="E153:F154">
    <cfRule type="expression" dxfId="571" priority="539">
      <formula>OR(WEEKDAY(B153,1)=5,WEEKDAY(B153,1)=5)</formula>
    </cfRule>
    <cfRule type="expression" dxfId="570" priority="540">
      <formula>OR(WEEKDAY(B153,1)=3,WEEKDAY(B153,1)=3)</formula>
    </cfRule>
  </conditionalFormatting>
  <conditionalFormatting sqref="E156:F157">
    <cfRule type="expression" dxfId="569" priority="533">
      <formula>OR(WEEKDAY(B156,1)=5,WEEKDAY(B156,1)=5)</formula>
    </cfRule>
    <cfRule type="expression" dxfId="568" priority="534">
      <formula>OR(WEEKDAY(B156,1)=3,WEEKDAY(B156,1)=3)</formula>
    </cfRule>
  </conditionalFormatting>
  <conditionalFormatting sqref="E156:F158">
    <cfRule type="expression" dxfId="567" priority="537">
      <formula>OR(WEEKDAY(B156,1)=7,WEEKDAY(B156,1)=1)</formula>
    </cfRule>
  </conditionalFormatting>
  <conditionalFormatting sqref="E159:F159 E160">
    <cfRule type="expression" dxfId="566" priority="530">
      <formula>OR(WEEKDAY(B159,1)=7,WEEKDAY(B159,1)=1)</formula>
    </cfRule>
  </conditionalFormatting>
  <conditionalFormatting sqref="E159:F159 E226:H226 E228:F231 E205">
    <cfRule type="expression" dxfId="565" priority="529">
      <formula>OR($G159="48VACACI",$G159="49ENFERM")</formula>
    </cfRule>
  </conditionalFormatting>
  <conditionalFormatting sqref="E159:F162">
    <cfRule type="expression" dxfId="564" priority="525">
      <formula>OR(WEEKDAY(B159,1)=5,WEEKDAY(B159,1)=5)</formula>
    </cfRule>
    <cfRule type="expression" dxfId="563" priority="526">
      <formula>OR(WEEKDAY(B159,1)=3,WEEKDAY(B159,1)=3)</formula>
    </cfRule>
  </conditionalFormatting>
  <conditionalFormatting sqref="E161:F163">
    <cfRule type="expression" dxfId="562" priority="492">
      <formula>OR(WEEKDAY(B161,1)=7,WEEKDAY(B161,1)=1)</formula>
    </cfRule>
  </conditionalFormatting>
  <conditionalFormatting sqref="E163:F163">
    <cfRule type="expression" dxfId="561" priority="489">
      <formula>OR(WEEKDAY(B163,1)=5,WEEKDAY(B163,1)=5)</formula>
    </cfRule>
    <cfRule type="expression" dxfId="560" priority="490">
      <formula>OR(WEEKDAY(B163,1)=3,WEEKDAY(B163,1)=3)</formula>
    </cfRule>
    <cfRule type="expression" dxfId="559" priority="491">
      <formula>OR($G163="48VACACI",$G163="49ENFERM")</formula>
    </cfRule>
  </conditionalFormatting>
  <conditionalFormatting sqref="E164:F164">
    <cfRule type="expression" dxfId="558" priority="506">
      <formula>OR(WEEKDAY(B164,1)=5,WEEKDAY(B164,1)=5)</formula>
    </cfRule>
    <cfRule type="expression" dxfId="557" priority="507">
      <formula>OR(WEEKDAY(B164,1)=3,WEEKDAY(B164,1)=3)</formula>
    </cfRule>
  </conditionalFormatting>
  <conditionalFormatting sqref="E165:F166">
    <cfRule type="expression" dxfId="556" priority="481">
      <formula>OR(WEEKDAY(B165,1)=5,WEEKDAY(B165,1)=5)</formula>
    </cfRule>
    <cfRule type="expression" dxfId="555" priority="482">
      <formula>OR(WEEKDAY(B165,1)=3,WEEKDAY(B165,1)=3)</formula>
    </cfRule>
    <cfRule type="expression" dxfId="554" priority="483">
      <formula>OR($G165="48VACACI",$G165="49ENFERM")</formula>
    </cfRule>
  </conditionalFormatting>
  <conditionalFormatting sqref="E167:F167">
    <cfRule type="expression" dxfId="553" priority="496">
      <formula>OR(WEEKDAY(B167,1)=5,WEEKDAY(B167,1)=5)</formula>
    </cfRule>
    <cfRule type="expression" dxfId="552" priority="497">
      <formula>OR(WEEKDAY(B167,1)=3,WEEKDAY(B167,1)=3)</formula>
    </cfRule>
  </conditionalFormatting>
  <conditionalFormatting sqref="E171:F174">
    <cfRule type="expression" dxfId="551" priority="470">
      <formula>OR(WEEKDAY(B171,1)=7,WEEKDAY(B171,1)=1)</formula>
    </cfRule>
  </conditionalFormatting>
  <conditionalFormatting sqref="E173:F175">
    <cfRule type="expression" dxfId="550" priority="465">
      <formula>OR(WEEKDAY(B173,1)=5,WEEKDAY(B173,1)=5)</formula>
    </cfRule>
    <cfRule type="expression" dxfId="549" priority="466">
      <formula>OR(WEEKDAY(B173,1)=3,WEEKDAY(B173,1)=3)</formula>
    </cfRule>
  </conditionalFormatting>
  <conditionalFormatting sqref="E177:F177">
    <cfRule type="expression" dxfId="548" priority="448">
      <formula>OR(WEEKDAY(B177,1)=5,WEEKDAY(B177,1)=5)</formula>
    </cfRule>
    <cfRule type="expression" dxfId="547" priority="449">
      <formula>OR(WEEKDAY(B177,1)=3,WEEKDAY(B177,1)=3)</formula>
    </cfRule>
    <cfRule type="expression" dxfId="546" priority="452">
      <formula>OR(WEEKDAY(B177,1)=7,WEEKDAY(B177,1)=1)</formula>
    </cfRule>
  </conditionalFormatting>
  <conditionalFormatting sqref="E178:F178">
    <cfRule type="expression" dxfId="545" priority="456">
      <formula>OR(WEEKDAY(B178,1)=5,WEEKDAY(B178,1)=5)</formula>
    </cfRule>
    <cfRule type="expression" dxfId="544" priority="457">
      <formula>OR(WEEKDAY(B178,1)=3,WEEKDAY(B178,1)=3)</formula>
    </cfRule>
  </conditionalFormatting>
  <conditionalFormatting sqref="E180:F183">
    <cfRule type="expression" dxfId="543" priority="407">
      <formula>OR(WEEKDAY(B180,1)=7,WEEKDAY(B180,1)=1)</formula>
    </cfRule>
  </conditionalFormatting>
  <conditionalFormatting sqref="E183:F183">
    <cfRule type="expression" dxfId="542" priority="403">
      <formula>OR(WEEKDAY(B183,1)=5,WEEKDAY(B183,1)=5)</formula>
    </cfRule>
    <cfRule type="expression" dxfId="541" priority="404">
      <formula>OR(WEEKDAY(B183,1)=3,WEEKDAY(B183,1)=3)</formula>
    </cfRule>
  </conditionalFormatting>
  <conditionalFormatting sqref="E184:F184">
    <cfRule type="expression" dxfId="540" priority="429">
      <formula>OR(WEEKDAY(B184,1)=5,WEEKDAY(B184,1)=5)</formula>
    </cfRule>
    <cfRule type="expression" dxfId="539" priority="430">
      <formula>OR(WEEKDAY(B184,1)=3,WEEKDAY(B184,1)=3)</formula>
    </cfRule>
  </conditionalFormatting>
  <conditionalFormatting sqref="E186:F187">
    <cfRule type="expression" dxfId="538" priority="387">
      <formula>OR(WEEKDAY(B186,1)=5,WEEKDAY(B186,1)=5)</formula>
    </cfRule>
    <cfRule type="expression" dxfId="537" priority="388">
      <formula>OR(WEEKDAY(B186,1)=3,WEEKDAY(B186,1)=3)</formula>
    </cfRule>
    <cfRule type="expression" dxfId="536" priority="391">
      <formula>OR(WEEKDAY(B186,1)=7,WEEKDAY(B186,1)=1)</formula>
    </cfRule>
  </conditionalFormatting>
  <conditionalFormatting sqref="E188:F188">
    <cfRule type="expression" dxfId="535" priority="420">
      <formula>OR(WEEKDAY(B188,1)=5,WEEKDAY(B188,1)=5)</formula>
    </cfRule>
    <cfRule type="expression" dxfId="534" priority="421">
      <formula>OR(WEEKDAY(B188,1)=3,WEEKDAY(B188,1)=3)</formula>
    </cfRule>
  </conditionalFormatting>
  <conditionalFormatting sqref="E189:F189">
    <cfRule type="expression" dxfId="533" priority="381">
      <formula>OR(WEEKDAY(B189,1)=5,WEEKDAY(B189,1)=5)</formula>
    </cfRule>
    <cfRule type="expression" dxfId="532" priority="382">
      <formula>OR(WEEKDAY(B189,1)=3,WEEKDAY(B189,1)=3)</formula>
    </cfRule>
    <cfRule type="expression" dxfId="531" priority="385">
      <formula>OR(WEEKDAY(B189,1)=7,WEEKDAY(B189,1)=1)</formula>
    </cfRule>
  </conditionalFormatting>
  <conditionalFormatting sqref="E190:F190">
    <cfRule type="expression" dxfId="530" priority="411">
      <formula>OR(WEEKDAY(B190,1)=5,WEEKDAY(B190,1)=5)</formula>
    </cfRule>
    <cfRule type="expression" dxfId="529" priority="412">
      <formula>OR(WEEKDAY(B190,1)=3,WEEKDAY(B190,1)=3)</formula>
    </cfRule>
  </conditionalFormatting>
  <conditionalFormatting sqref="E191:F193">
    <cfRule type="expression" dxfId="528" priority="370">
      <formula>OR(WEEKDAY(B191,1)=5,WEEKDAY(B191,1)=5)</formula>
    </cfRule>
    <cfRule type="expression" dxfId="527" priority="371">
      <formula>OR(WEEKDAY(B191,1)=3,WEEKDAY(B191,1)=3)</formula>
    </cfRule>
  </conditionalFormatting>
  <conditionalFormatting sqref="E193:F195">
    <cfRule type="expression" dxfId="526" priority="375">
      <formula>OR(WEEKDAY(B193,1)=7,WEEKDAY(B193,1)=1)</formula>
    </cfRule>
  </conditionalFormatting>
  <conditionalFormatting sqref="E196:F196">
    <cfRule type="expression" dxfId="525" priority="369">
      <formula>OR(WEEKDAY(B196,1)=7,WEEKDAY(B196,1)=1)</formula>
    </cfRule>
  </conditionalFormatting>
  <conditionalFormatting sqref="E196:F198">
    <cfRule type="expression" dxfId="524" priority="363">
      <formula>OR(WEEKDAY(B196,1)=5,WEEKDAY(B196,1)=5)</formula>
    </cfRule>
    <cfRule type="expression" dxfId="523" priority="364">
      <formula>OR(WEEKDAY(B196,1)=3,WEEKDAY(B196,1)=3)</formula>
    </cfRule>
  </conditionalFormatting>
  <conditionalFormatting sqref="E198:F202">
    <cfRule type="expression" dxfId="522" priority="350">
      <formula>OR(WEEKDAY(B198,1)=7,WEEKDAY(B198,1)=1)</formula>
    </cfRule>
  </conditionalFormatting>
  <conditionalFormatting sqref="E203:F204">
    <cfRule type="expression" dxfId="521" priority="355">
      <formula>OR(WEEKDAY(B203,1)=5,WEEKDAY(B203,1)=5)</formula>
    </cfRule>
    <cfRule type="expression" dxfId="520" priority="356">
      <formula>OR(WEEKDAY(B203,1)=3,WEEKDAY(B203,1)=3)</formula>
    </cfRule>
  </conditionalFormatting>
  <conditionalFormatting sqref="E209:F220">
    <cfRule type="expression" dxfId="519" priority="330">
      <formula>OR(WEEKDAY(B209,1)=5,WEEKDAY(B209,1)=5)</formula>
    </cfRule>
    <cfRule type="expression" dxfId="518" priority="331">
      <formula>OR(WEEKDAY(B209,1)=3,WEEKDAY(B209,1)=3)</formula>
    </cfRule>
  </conditionalFormatting>
  <conditionalFormatting sqref="E227:F227">
    <cfRule type="expression" dxfId="517" priority="315">
      <formula>OR($G227="48VACACI",$G227="49ENFERM")</formula>
    </cfRule>
  </conditionalFormatting>
  <conditionalFormatting sqref="E233:F235">
    <cfRule type="expression" dxfId="516" priority="324">
      <formula>OR($G233="48VACACI",$G233="49ENFERM")</formula>
    </cfRule>
  </conditionalFormatting>
  <conditionalFormatting sqref="E238:F239">
    <cfRule type="expression" dxfId="515" priority="294">
      <formula>OR($G238="48VACACI",$G238="49ENFERM")</formula>
    </cfRule>
  </conditionalFormatting>
  <conditionalFormatting sqref="E241:F241 E242">
    <cfRule type="expression" dxfId="514" priority="301">
      <formula>OR(WEEKDAY(B241,1)=5,WEEKDAY(B241,1)=5)</formula>
    </cfRule>
    <cfRule type="expression" dxfId="513" priority="302">
      <formula>OR(WEEKDAY(B241,1)=3,WEEKDAY(B241,1)=3)</formula>
    </cfRule>
  </conditionalFormatting>
  <conditionalFormatting sqref="E246:F246">
    <cfRule type="expression" dxfId="512" priority="271">
      <formula>OR(WEEKDAY(B246,1)=5,WEEKDAY(B246,1)=5)</formula>
    </cfRule>
    <cfRule type="expression" dxfId="511" priority="272">
      <formula>OR(WEEKDAY(B246,1)=3,WEEKDAY(B246,1)=3)</formula>
    </cfRule>
  </conditionalFormatting>
  <conditionalFormatting sqref="E248:F248">
    <cfRule type="expression" dxfId="510" priority="298">
      <formula>OR(WEEKDAY(B248,1)=5,WEEKDAY(B248,1)=5)</formula>
    </cfRule>
    <cfRule type="expression" dxfId="509" priority="299">
      <formula>OR(WEEKDAY(B248,1)=3,WEEKDAY(B248,1)=3)</formula>
    </cfRule>
  </conditionalFormatting>
  <conditionalFormatting sqref="E249:F249 E250">
    <cfRule type="expression" dxfId="508" priority="287">
      <formula>OR(WEEKDAY(B249,1)=5,WEEKDAY(B249,1)=5)</formula>
    </cfRule>
    <cfRule type="expression" dxfId="507" priority="288">
      <formula>OR(WEEKDAY(B249,1)=3,WEEKDAY(B249,1)=3)</formula>
    </cfRule>
  </conditionalFormatting>
  <conditionalFormatting sqref="E249:F249">
    <cfRule type="expression" dxfId="506" priority="283">
      <formula>OR($G249="48VACACI",$G249="49ENFERM")</formula>
    </cfRule>
  </conditionalFormatting>
  <conditionalFormatting sqref="E252:F254 E255:E257 E260:E263">
    <cfRule type="expression" dxfId="505" priority="278">
      <formula>OR(WEEKDAY(B252,1)=7,WEEKDAY(B252,1)=1)</formula>
    </cfRule>
  </conditionalFormatting>
  <conditionalFormatting sqref="E258:F259">
    <cfRule type="expression" dxfId="504" priority="234">
      <formula>OR(WEEKDAY(B258,1)=5,WEEKDAY(B258,1)=5)</formula>
    </cfRule>
    <cfRule type="expression" dxfId="503" priority="235">
      <formula>OR(WEEKDAY(B258,1)=3,WEEKDAY(B258,1)=3)</formula>
    </cfRule>
    <cfRule type="expression" dxfId="502" priority="236">
      <formula>OR(WEEKDAY(B258,1)=7,WEEKDAY(B258,1)=1)</formula>
    </cfRule>
  </conditionalFormatting>
  <conditionalFormatting sqref="E264:F264">
    <cfRule type="expression" dxfId="501" priority="228">
      <formula>OR(WEEKDAY(B264,1)=5,WEEKDAY(B264,1)=5)</formula>
    </cfRule>
    <cfRule type="expression" dxfId="500" priority="229">
      <formula>OR(WEEKDAY(B264,1)=3,WEEKDAY(B264,1)=3)</formula>
    </cfRule>
    <cfRule type="expression" dxfId="499" priority="230">
      <formula>OR(WEEKDAY(B264,1)=7,WEEKDAY(B264,1)=1)</formula>
    </cfRule>
  </conditionalFormatting>
  <conditionalFormatting sqref="E265:F270">
    <cfRule type="expression" dxfId="498" priority="190">
      <formula>OR(WEEKDAY(B265,1)=7,WEEKDAY(B265,1)=1)</formula>
    </cfRule>
  </conditionalFormatting>
  <conditionalFormatting sqref="E271:F272">
    <cfRule type="expression" dxfId="497" priority="178">
      <formula>OR(WEEKDAY(B271,1)=5,WEEKDAY(B271,1)=5)</formula>
    </cfRule>
    <cfRule type="expression" dxfId="496" priority="179">
      <formula>OR(WEEKDAY(B271,1)=3,WEEKDAY(B271,1)=3)</formula>
    </cfRule>
    <cfRule type="expression" dxfId="495" priority="180">
      <formula>OR(WEEKDAY(B271,1)=7,WEEKDAY(B271,1)=1)</formula>
    </cfRule>
  </conditionalFormatting>
  <conditionalFormatting sqref="E273:F274">
    <cfRule type="expression" dxfId="494" priority="169">
      <formula>OR(WEEKDAY(B273,1)=7,WEEKDAY(B273,1)=1)</formula>
    </cfRule>
  </conditionalFormatting>
  <conditionalFormatting sqref="E275:F275">
    <cfRule type="expression" dxfId="493" priority="162">
      <formula>OR(WEEKDAY(B275,1)=7,WEEKDAY(B275,1)=1)</formula>
    </cfRule>
  </conditionalFormatting>
  <conditionalFormatting sqref="E276:F279">
    <cfRule type="expression" dxfId="492" priority="157">
      <formula>OR(WEEKDAY(B276,1)=7,WEEKDAY(B276,1)=1)</formula>
    </cfRule>
  </conditionalFormatting>
  <conditionalFormatting sqref="E280:F280">
    <cfRule type="expression" dxfId="491" priority="146">
      <formula>OR(WEEKDAY(B280,1)=7,WEEKDAY(B280,1)=1)</formula>
    </cfRule>
  </conditionalFormatting>
  <conditionalFormatting sqref="E281:F283">
    <cfRule type="expression" dxfId="490" priority="119">
      <formula>OR(WEEKDAY(B281,1)=7,WEEKDAY(B281,1)=1)</formula>
    </cfRule>
  </conditionalFormatting>
  <conditionalFormatting sqref="E284:F284">
    <cfRule type="expression" dxfId="489" priority="116">
      <formula>OR(WEEKDAY(B284,1)=7,WEEKDAY(B284,1)=1)</formula>
    </cfRule>
  </conditionalFormatting>
  <conditionalFormatting sqref="E285:F285">
    <cfRule type="expression" dxfId="488" priority="135">
      <formula>OR(WEEKDAY(B285,1)=7,WEEKDAY(B285,1)=1)</formula>
    </cfRule>
  </conditionalFormatting>
  <conditionalFormatting sqref="E286:F288">
    <cfRule type="expression" dxfId="487" priority="126">
      <formula>OR(WEEKDAY(B286,1)=7,WEEKDAY(B286,1)=1)</formula>
    </cfRule>
  </conditionalFormatting>
  <conditionalFormatting sqref="E293:F293 E295:F302 E289:E292">
    <cfRule type="expression" dxfId="486" priority="99">
      <formula>OR(WEEKDAY(B289,1)=7,WEEKDAY(B289,1)=1)</formula>
    </cfRule>
  </conditionalFormatting>
  <conditionalFormatting sqref="E294:F294">
    <cfRule type="expression" dxfId="485" priority="94">
      <formula>OR(WEEKDAY(B294,1)=7,WEEKDAY(B294,1)=1)</formula>
    </cfRule>
  </conditionalFormatting>
  <conditionalFormatting sqref="E303:F306">
    <cfRule type="expression" dxfId="484" priority="81">
      <formula>OR(WEEKDAY(B303,1)=7,WEEKDAY(B303,1)=1)</formula>
    </cfRule>
  </conditionalFormatting>
  <conditionalFormatting sqref="E310:F312">
    <cfRule type="expression" dxfId="483" priority="56">
      <formula>OR(WEEKDAY(B310,1)=7,WEEKDAY(B310,1)=1)</formula>
    </cfRule>
  </conditionalFormatting>
  <conditionalFormatting sqref="E313:F314">
    <cfRule type="expression" dxfId="482" priority="48">
      <formula>OR(WEEKDAY(B313,1)=7,WEEKDAY(B313,1)=1)</formula>
    </cfRule>
  </conditionalFormatting>
  <conditionalFormatting sqref="E315:F319">
    <cfRule type="expression" dxfId="481" priority="59">
      <formula>OR(WEEKDAY(B315,1)=7,WEEKDAY(B315,1)=1)</formula>
    </cfRule>
  </conditionalFormatting>
  <conditionalFormatting sqref="E320:F326">
    <cfRule type="expression" dxfId="480" priority="51">
      <formula>OR(WEEKDAY(B320,1)=7,WEEKDAY(B320,1)=1)</formula>
    </cfRule>
  </conditionalFormatting>
  <conditionalFormatting sqref="E365:F372">
    <cfRule type="expression" dxfId="479" priority="3">
      <formula>OR(WEEKDAY(B365,1)=5,WEEKDAY(B365,1)=5)</formula>
    </cfRule>
    <cfRule type="expression" dxfId="478" priority="4">
      <formula>OR(WEEKDAY(B365,1)=3,WEEKDAY(B365,1)=3)</formula>
    </cfRule>
  </conditionalFormatting>
  <conditionalFormatting sqref="E366:F367">
    <cfRule type="expression" dxfId="477" priority="7">
      <formula>OR(WEEKDAY(B366,1)=7,WEEKDAY(B366,1)=1)</formula>
    </cfRule>
  </conditionalFormatting>
  <conditionalFormatting sqref="E146:G146">
    <cfRule type="expression" dxfId="476" priority="548">
      <formula>OR($G146="48VACACI",$G146="49ENFERM")</formula>
    </cfRule>
  </conditionalFormatting>
  <conditionalFormatting sqref="E156:G157">
    <cfRule type="expression" dxfId="475" priority="535">
      <formula>OR($G156="48VACACI",$G156="49ENFERM")</formula>
    </cfRule>
  </conditionalFormatting>
  <conditionalFormatting sqref="E177:G177">
    <cfRule type="expression" dxfId="474" priority="450">
      <formula>OR($G177="48VACACI",$G177="49ENFERM")</formula>
    </cfRule>
  </conditionalFormatting>
  <conditionalFormatting sqref="E183:G183">
    <cfRule type="expression" dxfId="473" priority="405">
      <formula>OR($G183="48VACACI",$G183="49ENFERM")</formula>
    </cfRule>
  </conditionalFormatting>
  <conditionalFormatting sqref="E186:G187">
    <cfRule type="expression" dxfId="472" priority="389">
      <formula>OR($G186="48VACACI",$G186="49ENFERM")</formula>
    </cfRule>
  </conditionalFormatting>
  <conditionalFormatting sqref="E189:G189">
    <cfRule type="expression" dxfId="471" priority="383">
      <formula>OR($G189="48VACACI",$G189="49ENFERM")</formula>
    </cfRule>
  </conditionalFormatting>
  <conditionalFormatting sqref="E9:H9">
    <cfRule type="expression" dxfId="470" priority="691">
      <formula>OR($E9="VACACIONES",$E9="ENFERMEDAD")</formula>
    </cfRule>
  </conditionalFormatting>
  <conditionalFormatting sqref="E15:H17 E78:H87">
    <cfRule type="expression" dxfId="469" priority="680">
      <formula>OR($G15="48VACACI",$G15="49ENFERM")</formula>
    </cfRule>
  </conditionalFormatting>
  <conditionalFormatting sqref="E21:H21 E32:H32 E44:H44 E53:H53 E99:H99 E374:H374 E380:H380 E387:H387 E394:H394 E401:H401 E408:H408 E414:H414 E421:H421 E428:H428 E435:H435 E442:H442 E89:H89 E7:H7 E14:H14 E63:H63 E77:H77 E148:E150 E158 E247 E353 E168:E169 E301">
    <cfRule type="expression" dxfId="468" priority="717">
      <formula>OR($E7="VACACIONES",$E7="ENFERMEDAD")</formula>
    </cfRule>
  </conditionalFormatting>
  <conditionalFormatting sqref="E22:H30">
    <cfRule type="expression" dxfId="467" priority="662">
      <formula>OR($G22="48VACACI",$G22="49ENFERM")</formula>
    </cfRule>
  </conditionalFormatting>
  <conditionalFormatting sqref="E33:H42">
    <cfRule type="expression" dxfId="466" priority="654">
      <formula>OR($G33="48VACACI",$G33="49ENFERM")</formula>
    </cfRule>
  </conditionalFormatting>
  <conditionalFormatting sqref="E45:H50">
    <cfRule type="expression" dxfId="465" priority="646">
      <formula>OR($G45="48VACACI",$G45="49ENFERM")</formula>
    </cfRule>
  </conditionalFormatting>
  <conditionalFormatting sqref="E54:H61">
    <cfRule type="expression" dxfId="464" priority="636">
      <formula>OR($G54="48VACACI",$G54="49ENFERM")</formula>
    </cfRule>
  </conditionalFormatting>
  <conditionalFormatting sqref="E64:H75">
    <cfRule type="expression" dxfId="463" priority="624">
      <formula>OR($G64="48VACACI",$G64="49ENFERM")</formula>
    </cfRule>
  </conditionalFormatting>
  <conditionalFormatting sqref="E90:H90 E92:H97 E100:H102 E103:E104 E105:H105 E111:H112 E113 E114:H115 E116:E118 E132:H133 E139:H145 E151:H152 E170:G170 E171:H172 E176 E181:H182 E194:H195 E199 E207:H208 E223 E249:H249 E250:E251 E253:H254 E255:E257 E265:E267 E268:H269 E270 E273:E276 E277:H278 E287:H288 E298:H299 E302:E306 E310:H311 E318:H319 E325:H325 E328:H331 E332:F332 E333:H336 E350:H350 E354 E355:H355 E356:E359 E375:H378 E381:H385 E388:H392 E395:H399 E402:H406 E409:H412 E415:H419 E422:H426 E429:H433 E436:H440 E443:H447 E449:H454 E456:H461 E463:H468 E470:H475 E477:H482 E484:H489 E491:H496 E498:H503 E122:H124 E125:G125 E126:H126 E127:G127 E128:F128 E129:H129 E221:H222 E224:F224 E234:H234 E235 E236:H237 E240">
    <cfRule type="expression" dxfId="462" priority="709">
      <formula>OR($G90="48VACACI",$G90="49ENFERM")</formula>
    </cfRule>
  </conditionalFormatting>
  <conditionalFormatting sqref="E91:H91">
    <cfRule type="expression" dxfId="461" priority="610">
      <formula>OR($G91="48VACACI",$G91="49ENFERM")</formula>
    </cfRule>
  </conditionalFormatting>
  <conditionalFormatting sqref="E107:H107">
    <cfRule type="expression" dxfId="460" priority="595">
      <formula>OR($G107="48VACACI",$G107="49ENFERM")</formula>
    </cfRule>
  </conditionalFormatting>
  <conditionalFormatting sqref="E137:H138">
    <cfRule type="expression" dxfId="459" priority="572">
      <formula>OR($E137="VACACIONES",$E137="ENFERMEDAD")</formula>
    </cfRule>
  </conditionalFormatting>
  <conditionalFormatting sqref="E147:H147">
    <cfRule type="expression" dxfId="458" priority="553">
      <formula>OR($G147="48VACACI",$G147="49ENFERM")</formula>
    </cfRule>
  </conditionalFormatting>
  <conditionalFormatting sqref="E153:H154">
    <cfRule type="expression" dxfId="457" priority="541">
      <formula>OR($G153="48VACACI",$G153="49ENFERM")</formula>
    </cfRule>
  </conditionalFormatting>
  <conditionalFormatting sqref="E160:H162">
    <cfRule type="expression" dxfId="456" priority="527">
      <formula>OR($G160="48VACACI",$G160="49ENFERM")</formula>
    </cfRule>
  </conditionalFormatting>
  <conditionalFormatting sqref="E164:H164">
    <cfRule type="expression" dxfId="455" priority="508">
      <formula>OR($G164="48VACACI",$G164="49ENFERM")</formula>
    </cfRule>
  </conditionalFormatting>
  <conditionalFormatting sqref="E167:H167">
    <cfRule type="expression" dxfId="454" priority="498">
      <formula>OR($G167="48VACACI",$G167="49ENFERM")</formula>
    </cfRule>
  </conditionalFormatting>
  <conditionalFormatting sqref="E173:H175">
    <cfRule type="expression" dxfId="453" priority="467">
      <formula>OR($G173="48VACACI",$G173="49ENFERM")</formula>
    </cfRule>
  </conditionalFormatting>
  <conditionalFormatting sqref="E178:H178">
    <cfRule type="expression" dxfId="452" priority="458">
      <formula>OR($G178="48VACACI",$G178="49ENFERM")</formula>
    </cfRule>
  </conditionalFormatting>
  <conditionalFormatting sqref="E184:H184">
    <cfRule type="expression" dxfId="451" priority="431">
      <formula>OR($G184="48VACACI",$G184="49ENFERM")</formula>
    </cfRule>
  </conditionalFormatting>
  <conditionalFormatting sqref="E188:H188">
    <cfRule type="expression" dxfId="450" priority="422">
      <formula>OR($G188="48VACACI",$G188="49ENFERM")</formula>
    </cfRule>
  </conditionalFormatting>
  <conditionalFormatting sqref="E190:H190">
    <cfRule type="expression" dxfId="449" priority="413">
      <formula>OR($G190="48VACACI",$G190="49ENFERM")</formula>
    </cfRule>
  </conditionalFormatting>
  <conditionalFormatting sqref="E191:H193">
    <cfRule type="expression" dxfId="448" priority="372">
      <formula>OR($G191="48VACACI",$G191="49ENFERM")</formula>
    </cfRule>
  </conditionalFormatting>
  <conditionalFormatting sqref="E196:H198">
    <cfRule type="expression" dxfId="447" priority="365">
      <formula>OR($G196="48VACACI",$G196="49ENFERM")</formula>
    </cfRule>
  </conditionalFormatting>
  <conditionalFormatting sqref="E203:H204">
    <cfRule type="expression" dxfId="446" priority="357">
      <formula>OR($G203="48VACACI",$G203="49ENFERM")</formula>
    </cfRule>
  </conditionalFormatting>
  <conditionalFormatting sqref="E206:H206">
    <cfRule type="expression" dxfId="445" priority="342">
      <formula>OR($E206="VACACIONES",$E206="ENFERMEDAD")</formula>
    </cfRule>
  </conditionalFormatting>
  <conditionalFormatting sqref="E209:H211 E212:G213 E214:H220">
    <cfRule type="expression" dxfId="444" priority="332">
      <formula>OR($G209="48VACACI",$G209="49ENFERM")</formula>
    </cfRule>
  </conditionalFormatting>
  <conditionalFormatting sqref="E223:H225">
    <cfRule type="expression" dxfId="443" priority="307">
      <formula>OR($G223="48VACACI",$G223="49ENFERM")</formula>
    </cfRule>
  </conditionalFormatting>
  <conditionalFormatting sqref="E232:H232">
    <cfRule type="expression" dxfId="442" priority="322">
      <formula>OR($G232="48VACACI",$G232="49ENFERM")</formula>
    </cfRule>
  </conditionalFormatting>
  <conditionalFormatting sqref="E241:H242">
    <cfRule type="expression" dxfId="441" priority="266">
      <formula>OR($G241="48VACACI",$G241="49ENFERM")</formula>
    </cfRule>
  </conditionalFormatting>
  <conditionalFormatting sqref="E246:H246">
    <cfRule type="expression" dxfId="440" priority="273">
      <formula>OR($G246="48VACACI",$G246="49ENFERM")</formula>
    </cfRule>
  </conditionalFormatting>
  <conditionalFormatting sqref="E248:H248">
    <cfRule type="expression" dxfId="439" priority="296">
      <formula>OR($G248="48VACACI",$G248="49ENFERM")</formula>
    </cfRule>
  </conditionalFormatting>
  <conditionalFormatting sqref="E250:H250">
    <cfRule type="expression" dxfId="438" priority="244">
      <formula>OR($G250="48VACACI",$G250="49ENFERM")</formula>
    </cfRule>
  </conditionalFormatting>
  <conditionalFormatting sqref="E258:H259">
    <cfRule type="expression" dxfId="437" priority="232">
      <formula>OR($G258="48VACACI",$G258="49ENFERM")</formula>
    </cfRule>
  </conditionalFormatting>
  <conditionalFormatting sqref="E264:H264">
    <cfRule type="expression" dxfId="436" priority="226">
      <formula>OR($G264="48VACACI",$G264="49ENFERM")</formula>
    </cfRule>
  </conditionalFormatting>
  <conditionalFormatting sqref="E271:H272">
    <cfRule type="expression" dxfId="435" priority="176">
      <formula>OR($G271="48VACACI",$G271="49ENFERM")</formula>
    </cfRule>
  </conditionalFormatting>
  <conditionalFormatting sqref="E365:H367">
    <cfRule type="expression" dxfId="434" priority="5">
      <formula>OR($G365="48VACACI",$G365="49ENFERM")</formula>
    </cfRule>
  </conditionalFormatting>
  <conditionalFormatting sqref="F27">
    <cfRule type="expression" dxfId="433" priority="659">
      <formula>OR(WEEKDAY(C27,1)=7,WEEKDAY(C27,1)=1)</formula>
    </cfRule>
  </conditionalFormatting>
  <conditionalFormatting sqref="F29">
    <cfRule type="expression" dxfId="432" priority="658">
      <formula>OR(WEEKDAY(C29,1)=7,WEEKDAY(C29,1)=1)</formula>
    </cfRule>
  </conditionalFormatting>
  <conditionalFormatting sqref="F35">
    <cfRule type="expression" dxfId="431" priority="651">
      <formula>OR(WEEKDAY(C35,1)=7,WEEKDAY(C35,1)=1)</formula>
    </cfRule>
  </conditionalFormatting>
  <conditionalFormatting sqref="F40:F42">
    <cfRule type="expression" dxfId="430" priority="650">
      <formula>OR(WEEKDAY(C40,1)=7,WEEKDAY(C40,1)=1)</formula>
    </cfRule>
  </conditionalFormatting>
  <conditionalFormatting sqref="F51">
    <cfRule type="expression" dxfId="429" priority="640">
      <formula>OR(WEEKDAY(C51,1)=5,WEEKDAY(C51,1)=5)</formula>
    </cfRule>
    <cfRule type="expression" dxfId="428" priority="641">
      <formula>OR(WEEKDAY(C51,1)=3,WEEKDAY(C51,1)=3)</formula>
    </cfRule>
  </conditionalFormatting>
  <conditionalFormatting sqref="F61:F62">
    <cfRule type="expression" dxfId="427" priority="633">
      <formula>OR(WEEKDAY(C61,1)=7,WEEKDAY(C61,1)=1)</formula>
    </cfRule>
  </conditionalFormatting>
  <conditionalFormatting sqref="F62">
    <cfRule type="expression" dxfId="426" priority="629">
      <formula>OR(WEEKDAY(C62,1)=5,WEEKDAY(C62,1)=5)</formula>
    </cfRule>
    <cfRule type="expression" dxfId="425" priority="630">
      <formula>OR(WEEKDAY(C62,1)=3,WEEKDAY(C62,1)=3)</formula>
    </cfRule>
  </conditionalFormatting>
  <conditionalFormatting sqref="F69:F71">
    <cfRule type="expression" dxfId="424" priority="628">
      <formula>OR(WEEKDAY(C69,1)=7,WEEKDAY(C69,1)=1)</formula>
    </cfRule>
  </conditionalFormatting>
  <conditionalFormatting sqref="F74:F76">
    <cfRule type="expression" dxfId="423" priority="621">
      <formula>OR(WEEKDAY(C74,1)=7,WEEKDAY(C74,1)=1)</formula>
    </cfRule>
  </conditionalFormatting>
  <conditionalFormatting sqref="F76">
    <cfRule type="expression" dxfId="422" priority="617">
      <formula>OR(WEEKDAY(C76,1)=5,WEEKDAY(C76,1)=5)</formula>
    </cfRule>
    <cfRule type="expression" dxfId="421" priority="618">
      <formula>OR(WEEKDAY(C76,1)=3,WEEKDAY(C76,1)=3)</formula>
    </cfRule>
  </conditionalFormatting>
  <conditionalFormatting sqref="F88">
    <cfRule type="expression" dxfId="420" priority="612">
      <formula>OR(WEEKDAY(C88,1)=5,WEEKDAY(C88,1)=5)</formula>
    </cfRule>
    <cfRule type="expression" dxfId="419" priority="613">
      <formula>OR(WEEKDAY(C88,1)=3,WEEKDAY(C88,1)=3)</formula>
    </cfRule>
  </conditionalFormatting>
  <conditionalFormatting sqref="F103:F104">
    <cfRule type="expression" dxfId="418" priority="604">
      <formula>OR(WEEKDAY(C103,1)=5,WEEKDAY(C103,1)=5)</formula>
    </cfRule>
    <cfRule type="expression" dxfId="417" priority="605">
      <formula>OR(WEEKDAY(C103,1)=3,WEEKDAY(C103,1)=3)</formula>
    </cfRule>
  </conditionalFormatting>
  <conditionalFormatting sqref="F106">
    <cfRule type="expression" dxfId="416" priority="598">
      <formula>OR(WEEKDAY(C106,1)=5,WEEKDAY(C106,1)=5)</formula>
    </cfRule>
    <cfRule type="expression" dxfId="415" priority="599">
      <formula>OR(WEEKDAY(C106,1)=3,WEEKDAY(C106,1)=3)</formula>
    </cfRule>
  </conditionalFormatting>
  <conditionalFormatting sqref="F108">
    <cfRule type="expression" dxfId="414" priority="588">
      <formula>OR(WEEKDAY(C108,1)=5,WEEKDAY(C108,1)=5)</formula>
    </cfRule>
    <cfRule type="expression" dxfId="413" priority="589">
      <formula>OR(WEEKDAY(C108,1)=3,WEEKDAY(C108,1)=3)</formula>
    </cfRule>
  </conditionalFormatting>
  <conditionalFormatting sqref="F148:F150">
    <cfRule type="expression" dxfId="412" priority="550">
      <formula>OR(WEEKDAY(C148,1)=5,WEEKDAY(C148,1)=5)</formula>
    </cfRule>
    <cfRule type="expression" dxfId="411" priority="551">
      <formula>OR(WEEKDAY(C148,1)=3,WEEKDAY(C148,1)=3)</formula>
    </cfRule>
  </conditionalFormatting>
  <conditionalFormatting sqref="F155">
    <cfRule type="expression" dxfId="410" priority="517">
      <formula>OR(WEEKDAY(C155,1)=5,WEEKDAY(C155,1)=5)</formula>
    </cfRule>
    <cfRule type="expression" dxfId="409" priority="518">
      <formula>OR(WEEKDAY(C155,1)=3,WEEKDAY(C155,1)=3)</formula>
    </cfRule>
  </conditionalFormatting>
  <conditionalFormatting sqref="F158">
    <cfRule type="expression" dxfId="408" priority="513">
      <formula>OR(WEEKDAY(C158,1)=5,WEEKDAY(C158,1)=5)</formula>
    </cfRule>
    <cfRule type="expression" dxfId="407" priority="514">
      <formula>OR(WEEKDAY(C158,1)=3,WEEKDAY(C158,1)=3)</formula>
    </cfRule>
  </conditionalFormatting>
  <conditionalFormatting sqref="F160">
    <cfRule type="expression" dxfId="406" priority="521">
      <formula>OR(WEEKDAY(C160,1)=7,WEEKDAY(C160,1)=1)</formula>
    </cfRule>
    <cfRule type="expression" dxfId="405" priority="522">
      <formula>OR(WEEKDAY(C160,1)=5,WEEKDAY(C160,1)=5)</formula>
    </cfRule>
    <cfRule type="expression" dxfId="404" priority="523">
      <formula>OR(WEEKDAY(C160,1)=3,WEEKDAY(C160,1)=3)</formula>
    </cfRule>
    <cfRule type="expression" dxfId="403" priority="524">
      <formula>OR(WEEKDAY(C160,1)=7,WEEKDAY(C160,1)=1)</formula>
    </cfRule>
  </conditionalFormatting>
  <conditionalFormatting sqref="F164">
    <cfRule type="expression" dxfId="402" priority="502">
      <formula>OR(WEEKDAY(C164,1)=7,WEEKDAY(C164,1)=1)</formula>
    </cfRule>
    <cfRule type="expression" dxfId="401" priority="503">
      <formula>OR(WEEKDAY(C164,1)=5,WEEKDAY(C164,1)=5)</formula>
    </cfRule>
    <cfRule type="expression" dxfId="400" priority="504">
      <formula>OR(WEEKDAY(C164,1)=3,WEEKDAY(C164,1)=3)</formula>
    </cfRule>
    <cfRule type="expression" dxfId="399" priority="505">
      <formula>OR(WEEKDAY(C164,1)=7,WEEKDAY(C164,1)=1)</formula>
    </cfRule>
  </conditionalFormatting>
  <conditionalFormatting sqref="F167">
    <cfRule type="expression" dxfId="398" priority="493">
      <formula>OR(WEEKDAY(C167,1)=5,WEEKDAY(C167,1)=5)</formula>
    </cfRule>
    <cfRule type="expression" dxfId="397" priority="494">
      <formula>OR(WEEKDAY(C167,1)=3,WEEKDAY(C167,1)=3)</formula>
    </cfRule>
    <cfRule type="expression" dxfId="396" priority="495">
      <formula>OR(WEEKDAY(C167,1)=7,WEEKDAY(C167,1)=1)</formula>
    </cfRule>
  </conditionalFormatting>
  <conditionalFormatting sqref="F167:F169">
    <cfRule type="expression" dxfId="395" priority="478">
      <formula>OR(WEEKDAY(C167,1)=7,WEEKDAY(C167,1)=1)</formula>
    </cfRule>
  </conditionalFormatting>
  <conditionalFormatting sqref="F168:F170">
    <cfRule type="expression" dxfId="394" priority="473">
      <formula>OR(WEEKDAY(C168,1)=5,WEEKDAY(C168,1)=5)</formula>
    </cfRule>
    <cfRule type="expression" dxfId="393" priority="474">
      <formula>OR(WEEKDAY(C168,1)=3,WEEKDAY(C168,1)=3)</formula>
    </cfRule>
  </conditionalFormatting>
  <conditionalFormatting sqref="F170">
    <cfRule type="expression" dxfId="392" priority="475">
      <formula>OR(WEEKDAY(C170,1)=7,WEEKDAY(C170,1)=1)</formula>
    </cfRule>
  </conditionalFormatting>
  <conditionalFormatting sqref="F175">
    <cfRule type="expression" dxfId="391" priority="462">
      <formula>OR(WEEKDAY(C175,1)=5,WEEKDAY(C175,1)=5)</formula>
    </cfRule>
    <cfRule type="expression" dxfId="390" priority="463">
      <formula>OR(WEEKDAY(C175,1)=3,WEEKDAY(C175,1)=3)</formula>
    </cfRule>
    <cfRule type="expression" dxfId="389" priority="464">
      <formula>OR(WEEKDAY(C175,1)=7,WEEKDAY(C175,1)=1)</formula>
    </cfRule>
  </conditionalFormatting>
  <conditionalFormatting sqref="F175:F176">
    <cfRule type="expression" dxfId="388" priority="438">
      <formula>OR(WEEKDAY(C175,1)=7,WEEKDAY(C175,1)=1)</formula>
    </cfRule>
  </conditionalFormatting>
  <conditionalFormatting sqref="F176">
    <cfRule type="expression" dxfId="387" priority="434">
      <formula>OR(WEEKDAY(C176,1)=5,WEEKDAY(C176,1)=5)</formula>
    </cfRule>
    <cfRule type="expression" dxfId="386" priority="435">
      <formula>OR(WEEKDAY(C176,1)=3,WEEKDAY(C176,1)=3)</formula>
    </cfRule>
  </conditionalFormatting>
  <conditionalFormatting sqref="F178">
    <cfRule type="expression" dxfId="385" priority="453">
      <formula>OR(WEEKDAY(C178,1)=5,WEEKDAY(C178,1)=5)</formula>
    </cfRule>
    <cfRule type="expression" dxfId="384" priority="454">
      <formula>OR(WEEKDAY(C178,1)=3,WEEKDAY(C178,1)=3)</formula>
    </cfRule>
    <cfRule type="expression" dxfId="383" priority="455">
      <formula>OR(WEEKDAY(C178,1)=7,WEEKDAY(C178,1)=1)</formula>
    </cfRule>
  </conditionalFormatting>
  <conditionalFormatting sqref="F178:F179">
    <cfRule type="expression" dxfId="382" priority="447">
      <formula>OR(WEEKDAY(C178,1)=7,WEEKDAY(C178,1)=1)</formula>
    </cfRule>
  </conditionalFormatting>
  <conditionalFormatting sqref="F179">
    <cfRule type="expression" dxfId="381" priority="443">
      <formula>OR(WEEKDAY(C179,1)=5,WEEKDAY(C179,1)=5)</formula>
    </cfRule>
    <cfRule type="expression" dxfId="380" priority="444">
      <formula>OR(WEEKDAY(C179,1)=3,WEEKDAY(C179,1)=3)</formula>
    </cfRule>
  </conditionalFormatting>
  <conditionalFormatting sqref="F184">
    <cfRule type="expression" dxfId="379" priority="426">
      <formula>OR(WEEKDAY(C184,1)=5,WEEKDAY(C184,1)=5)</formula>
    </cfRule>
    <cfRule type="expression" dxfId="378" priority="427">
      <formula>OR(WEEKDAY(C184,1)=3,WEEKDAY(C184,1)=3)</formula>
    </cfRule>
    <cfRule type="expression" dxfId="377" priority="428">
      <formula>OR(WEEKDAY(C184,1)=7,WEEKDAY(C184,1)=1)</formula>
    </cfRule>
  </conditionalFormatting>
  <conditionalFormatting sqref="F184:F185">
    <cfRule type="expression" dxfId="376" priority="397">
      <formula>OR(WEEKDAY(C184,1)=7,WEEKDAY(C184,1)=1)</formula>
    </cfRule>
  </conditionalFormatting>
  <conditionalFormatting sqref="F185">
    <cfRule type="expression" dxfId="375" priority="393">
      <formula>OR(WEEKDAY(C185,1)=5,WEEKDAY(C185,1)=5)</formula>
    </cfRule>
    <cfRule type="expression" dxfId="374" priority="394">
      <formula>OR(WEEKDAY(C185,1)=3,WEEKDAY(C185,1)=3)</formula>
    </cfRule>
  </conditionalFormatting>
  <conditionalFormatting sqref="F188">
    <cfRule type="expression" dxfId="373" priority="416">
      <formula>OR(WEEKDAY(C188,1)=7,WEEKDAY(C188,1)=1)</formula>
    </cfRule>
    <cfRule type="expression" dxfId="372" priority="417">
      <formula>OR(WEEKDAY(C188,1)=5,WEEKDAY(C188,1)=5)</formula>
    </cfRule>
    <cfRule type="expression" dxfId="371" priority="418">
      <formula>OR(WEEKDAY(C188,1)=3,WEEKDAY(C188,1)=3)</formula>
    </cfRule>
    <cfRule type="expression" dxfId="370" priority="419">
      <formula>OR(WEEKDAY(C188,1)=7,WEEKDAY(C188,1)=1)</formula>
    </cfRule>
  </conditionalFormatting>
  <conditionalFormatting sqref="F190">
    <cfRule type="expression" dxfId="369" priority="408">
      <formula>OR(WEEKDAY(C190,1)=5,WEEKDAY(C190,1)=5)</formula>
    </cfRule>
    <cfRule type="expression" dxfId="368" priority="409">
      <formula>OR(WEEKDAY(C190,1)=3,WEEKDAY(C190,1)=3)</formula>
    </cfRule>
    <cfRule type="expression" dxfId="367" priority="410">
      <formula>OR(WEEKDAY(C190,1)=7,WEEKDAY(C190,1)=1)</formula>
    </cfRule>
  </conditionalFormatting>
  <conditionalFormatting sqref="F190:F192">
    <cfRule type="expression" dxfId="366" priority="374">
      <formula>OR(WEEKDAY(C190,1)=7,WEEKDAY(C190,1)=1)</formula>
    </cfRule>
  </conditionalFormatting>
  <conditionalFormatting sqref="F197">
    <cfRule type="expression" dxfId="365" priority="359">
      <formula>OR(WEEKDAY(C197,1)=7,WEEKDAY(C197,1)=1)</formula>
    </cfRule>
    <cfRule type="expression" dxfId="364" priority="360">
      <formula>OR(WEEKDAY(C197,1)=5,WEEKDAY(C197,1)=5)</formula>
    </cfRule>
    <cfRule type="expression" dxfId="363" priority="361">
      <formula>OR(WEEKDAY(C197,1)=3,WEEKDAY(C197,1)=3)</formula>
    </cfRule>
    <cfRule type="expression" dxfId="362" priority="362">
      <formula>OR(WEEKDAY(C197,1)=7,WEEKDAY(C197,1)=1)</formula>
    </cfRule>
  </conditionalFormatting>
  <conditionalFormatting sqref="F199">
    <cfRule type="expression" dxfId="361" priority="346">
      <formula>OR(WEEKDAY(C199,1)=5,WEEKDAY(C199,1)=5)</formula>
    </cfRule>
    <cfRule type="expression" dxfId="360" priority="347">
      <formula>OR(WEEKDAY(C199,1)=3,WEEKDAY(C199,1)=3)</formula>
    </cfRule>
  </conditionalFormatting>
  <conditionalFormatting sqref="F202">
    <cfRule type="expression" dxfId="359" priority="337">
      <formula>OR(WEEKDAY(C202,1)=5,WEEKDAY(C202,1)=5)</formula>
    </cfRule>
    <cfRule type="expression" dxfId="358" priority="338">
      <formula>OR(WEEKDAY(C202,1)=3,WEEKDAY(C202,1)=3)</formula>
    </cfRule>
  </conditionalFormatting>
  <conditionalFormatting sqref="F203:F204">
    <cfRule type="expression" dxfId="357" priority="351">
      <formula>OR(WEEKDAY(C203,1)=7,WEEKDAY(C203,1)=1)</formula>
    </cfRule>
    <cfRule type="expression" dxfId="356" priority="352">
      <formula>OR(WEEKDAY(C203,1)=5,WEEKDAY(C203,1)=5)</formula>
    </cfRule>
    <cfRule type="expression" dxfId="355" priority="353">
      <formula>OR(WEEKDAY(C203,1)=3,WEEKDAY(C203,1)=3)</formula>
    </cfRule>
  </conditionalFormatting>
  <conditionalFormatting sqref="F203:F205">
    <cfRule type="expression" dxfId="354" priority="354">
      <formula>OR(WEEKDAY(C203,1)=7,WEEKDAY(C203,1)=1)</formula>
    </cfRule>
  </conditionalFormatting>
  <conditionalFormatting sqref="F227:F231">
    <cfRule type="expression" dxfId="353" priority="309">
      <formula>OR(WEEKDAY(C227,1)=5,WEEKDAY(C227,1)=5)</formula>
    </cfRule>
    <cfRule type="expression" dxfId="352" priority="310">
      <formula>OR(WEEKDAY(C227,1)=3,WEEKDAY(C227,1)=3)</formula>
    </cfRule>
  </conditionalFormatting>
  <conditionalFormatting sqref="F233">
    <cfRule type="expression" dxfId="351" priority="316">
      <formula>OR(WEEKDAY(C233,1)=5,WEEKDAY(C233,1)=5)</formula>
    </cfRule>
    <cfRule type="expression" dxfId="350" priority="317">
      <formula>OR(WEEKDAY(C233,1)=3,WEEKDAY(C233,1)=3)</formula>
    </cfRule>
  </conditionalFormatting>
  <conditionalFormatting sqref="F235">
    <cfRule type="expression" dxfId="349" priority="303">
      <formula>OR(WEEKDAY(C235,1)=5,WEEKDAY(C235,1)=5)</formula>
    </cfRule>
    <cfRule type="expression" dxfId="348" priority="304">
      <formula>OR(WEEKDAY(C235,1)=3,WEEKDAY(C235,1)=3)</formula>
    </cfRule>
  </conditionalFormatting>
  <conditionalFormatting sqref="F238:F240">
    <cfRule type="expression" dxfId="347" priority="267">
      <formula>OR(WEEKDAY(C238,1)=5,WEEKDAY(C238,1)=5)</formula>
    </cfRule>
    <cfRule type="expression" dxfId="346" priority="268">
      <formula>OR(WEEKDAY(C238,1)=3,WEEKDAY(C238,1)=3)</formula>
    </cfRule>
  </conditionalFormatting>
  <conditionalFormatting sqref="F242">
    <cfRule type="expression" dxfId="345" priority="260">
      <formula>OR(WEEKDAY(C242,1)=5,WEEKDAY(C242,1)=5)</formula>
    </cfRule>
    <cfRule type="expression" dxfId="344" priority="261">
      <formula>OR(WEEKDAY(C242,1)=3,WEEKDAY(C242,1)=3)</formula>
    </cfRule>
    <cfRule type="expression" dxfId="343" priority="263">
      <formula>OR($G242="48VACACI",$G242="49ENFERM")</formula>
    </cfRule>
    <cfRule type="expression" dxfId="342" priority="264">
      <formula>OR(WEEKDAY(C242,1)=5,WEEKDAY(C242,1)=5)</formula>
    </cfRule>
    <cfRule type="expression" dxfId="341" priority="265">
      <formula>OR(WEEKDAY(C242,1)=3,WEEKDAY(C242,1)=3)</formula>
    </cfRule>
  </conditionalFormatting>
  <conditionalFormatting sqref="F245">
    <cfRule type="expression" dxfId="340" priority="252">
      <formula>OR(WEEKDAY(C245,1)=5,WEEKDAY(C245,1)=5)</formula>
    </cfRule>
    <cfRule type="expression" dxfId="339" priority="253">
      <formula>OR(WEEKDAY(C245,1)=3,WEEKDAY(C245,1)=3)</formula>
    </cfRule>
    <cfRule type="expression" dxfId="338" priority="256">
      <formula>OR(WEEKDAY(C245,1)=5,WEEKDAY(C245,1)=5)</formula>
    </cfRule>
    <cfRule type="expression" dxfId="337" priority="257">
      <formula>OR(WEEKDAY(C245,1)=3,WEEKDAY(C245,1)=3)</formula>
    </cfRule>
  </conditionalFormatting>
  <conditionalFormatting sqref="F247">
    <cfRule type="expression" dxfId="336" priority="246">
      <formula>OR(WEEKDAY(C247,1)=5,WEEKDAY(C247,1)=5)</formula>
    </cfRule>
    <cfRule type="expression" dxfId="335" priority="247">
      <formula>OR(WEEKDAY(C247,1)=3,WEEKDAY(C247,1)=3)</formula>
    </cfRule>
    <cfRule type="expression" dxfId="334" priority="250">
      <formula>OR(WEEKDAY(C247,1)=5,WEEKDAY(C247,1)=5)</formula>
    </cfRule>
    <cfRule type="expression" dxfId="333" priority="251">
      <formula>OR(WEEKDAY(C247,1)=3,WEEKDAY(C247,1)=3)</formula>
    </cfRule>
  </conditionalFormatting>
  <conditionalFormatting sqref="F250:F251">
    <cfRule type="expression" dxfId="332" priority="242">
      <formula>OR(WEEKDAY(C250,1)=5,WEEKDAY(C250,1)=5)</formula>
    </cfRule>
    <cfRule type="expression" dxfId="331" priority="243">
      <formula>OR(WEEKDAY(C250,1)=3,WEEKDAY(C250,1)=3)</formula>
    </cfRule>
  </conditionalFormatting>
  <conditionalFormatting sqref="F251">
    <cfRule type="expression" dxfId="330" priority="238">
      <formula>OR(WEEKDAY(C251,1)=5,WEEKDAY(C251,1)=5)</formula>
    </cfRule>
    <cfRule type="expression" dxfId="329" priority="239">
      <formula>OR(WEEKDAY(C251,1)=3,WEEKDAY(C251,1)=3)</formula>
    </cfRule>
  </conditionalFormatting>
  <conditionalFormatting sqref="F255">
    <cfRule type="expression" dxfId="328" priority="218">
      <formula>OR(WEEKDAY(C255,1)=7,WEEKDAY(C255,1)=1)</formula>
    </cfRule>
  </conditionalFormatting>
  <conditionalFormatting sqref="F256">
    <cfRule type="expression" dxfId="327" priority="221">
      <formula>OR($G256="48VACACI",$G256="49ENFERM")</formula>
    </cfRule>
    <cfRule type="expression" dxfId="326" priority="222">
      <formula>OR(WEEKDAY(C256,1)=5,WEEKDAY(C256,1)=5)</formula>
    </cfRule>
    <cfRule type="expression" dxfId="325" priority="223">
      <formula>OR(WEEKDAY(C256,1)=3,WEEKDAY(C256,1)=3)</formula>
    </cfRule>
    <cfRule type="expression" dxfId="324" priority="225">
      <formula>OR(WEEKDAY(C256,1)=7,WEEKDAY(C256,1)=1)</formula>
    </cfRule>
  </conditionalFormatting>
  <conditionalFormatting sqref="F256:F257">
    <cfRule type="expression" dxfId="323" priority="213">
      <formula>OR(WEEKDAY(C256,1)=5,WEEKDAY(C256,1)=5)</formula>
    </cfRule>
    <cfRule type="expression" dxfId="322" priority="214">
      <formula>OR(WEEKDAY(C256,1)=3,WEEKDAY(C256,1)=3)</formula>
    </cfRule>
  </conditionalFormatting>
  <conditionalFormatting sqref="F257">
    <cfRule type="expression" dxfId="321" priority="209">
      <formula>OR(WEEKDAY(C257,1)=5,WEEKDAY(C257,1)=5)</formula>
    </cfRule>
    <cfRule type="expression" dxfId="320" priority="210">
      <formula>OR(WEEKDAY(C257,1)=3,WEEKDAY(C257,1)=3)</formula>
    </cfRule>
    <cfRule type="expression" dxfId="319" priority="215">
      <formula>OR(WEEKDAY(C257,1)=7,WEEKDAY(C257,1)=1)</formula>
    </cfRule>
  </conditionalFormatting>
  <conditionalFormatting sqref="F260:F261">
    <cfRule type="expression" dxfId="318" priority="206">
      <formula>OR(WEEKDAY(C260,1)=7,WEEKDAY(C260,1)=1)</formula>
    </cfRule>
  </conditionalFormatting>
  <conditionalFormatting sqref="F261">
    <cfRule type="expression" dxfId="317" priority="200">
      <formula>OR(WEEKDAY(C261,1)=5,WEEKDAY(C261,1)=5)</formula>
    </cfRule>
    <cfRule type="expression" dxfId="316" priority="201">
      <formula>OR(WEEKDAY(C261,1)=3,WEEKDAY(C261,1)=3)</formula>
    </cfRule>
    <cfRule type="expression" dxfId="315" priority="204">
      <formula>OR(WEEKDAY(C261,1)=5,WEEKDAY(C261,1)=5)</formula>
    </cfRule>
    <cfRule type="expression" dxfId="314" priority="205">
      <formula>OR(WEEKDAY(C261,1)=3,WEEKDAY(C261,1)=3)</formula>
    </cfRule>
  </conditionalFormatting>
  <conditionalFormatting sqref="F262:F263">
    <cfRule type="expression" dxfId="313" priority="197">
      <formula>OR(WEEKDAY(C262,1)=7,WEEKDAY(C262,1)=1)</formula>
    </cfRule>
  </conditionalFormatting>
  <conditionalFormatting sqref="F263">
    <cfRule type="expression" dxfId="312" priority="191">
      <formula>OR(WEEKDAY(C263,1)=5,WEEKDAY(C263,1)=5)</formula>
    </cfRule>
    <cfRule type="expression" dxfId="311" priority="192">
      <formula>OR(WEEKDAY(C263,1)=3,WEEKDAY(C263,1)=3)</formula>
    </cfRule>
    <cfRule type="expression" dxfId="310" priority="195">
      <formula>OR(WEEKDAY(C263,1)=5,WEEKDAY(C263,1)=5)</formula>
    </cfRule>
    <cfRule type="expression" dxfId="309" priority="196">
      <formula>OR(WEEKDAY(C263,1)=3,WEEKDAY(C263,1)=3)</formula>
    </cfRule>
  </conditionalFormatting>
  <conditionalFormatting sqref="F265:F267">
    <cfRule type="expression" dxfId="308" priority="188">
      <formula>OR(WEEKDAY(C265,1)=5,WEEKDAY(C265,1)=5)</formula>
    </cfRule>
    <cfRule type="expression" dxfId="307" priority="189">
      <formula>OR(WEEKDAY(C265,1)=3,WEEKDAY(C265,1)=3)</formula>
    </cfRule>
  </conditionalFormatting>
  <conditionalFormatting sqref="F266:F267">
    <cfRule type="expression" dxfId="306" priority="184">
      <formula>OR(WEEKDAY(C266,1)=5,WEEKDAY(C266,1)=5)</formula>
    </cfRule>
    <cfRule type="expression" dxfId="305" priority="185">
      <formula>OR(WEEKDAY(C266,1)=3,WEEKDAY(C266,1)=3)</formula>
    </cfRule>
  </conditionalFormatting>
  <conditionalFormatting sqref="F270">
    <cfRule type="expression" dxfId="304" priority="170">
      <formula>OR(WEEKDAY(C270,1)=5,WEEKDAY(C270,1)=5)</formula>
    </cfRule>
    <cfRule type="expression" dxfId="303" priority="171">
      <formula>OR(WEEKDAY(C270,1)=3,WEEKDAY(C270,1)=3)</formula>
    </cfRule>
    <cfRule type="expression" dxfId="302" priority="174">
      <formula>OR(WEEKDAY(C270,1)=5,WEEKDAY(C270,1)=5)</formula>
    </cfRule>
    <cfRule type="expression" dxfId="301" priority="175">
      <formula>OR(WEEKDAY(C270,1)=3,WEEKDAY(C270,1)=3)</formula>
    </cfRule>
  </conditionalFormatting>
  <conditionalFormatting sqref="F273">
    <cfRule type="expression" dxfId="300" priority="163">
      <formula>OR(WEEKDAY(C273,1)=5,WEEKDAY(C273,1)=5)</formula>
    </cfRule>
    <cfRule type="expression" dxfId="299" priority="164">
      <formula>OR(WEEKDAY(C273,1)=3,WEEKDAY(C273,1)=3)</formula>
    </cfRule>
  </conditionalFormatting>
  <conditionalFormatting sqref="F273:F274">
    <cfRule type="expression" dxfId="298" priority="167">
      <formula>OR(WEEKDAY(C273,1)=5,WEEKDAY(C273,1)=5)</formula>
    </cfRule>
    <cfRule type="expression" dxfId="297" priority="168">
      <formula>OR(WEEKDAY(C273,1)=3,WEEKDAY(C273,1)=3)</formula>
    </cfRule>
  </conditionalFormatting>
  <conditionalFormatting sqref="F275">
    <cfRule type="expression" dxfId="296" priority="160">
      <formula>OR(WEEKDAY(C275,1)=5,WEEKDAY(C275,1)=5)</formula>
    </cfRule>
    <cfRule type="expression" dxfId="295" priority="161">
      <formula>OR(WEEKDAY(C275,1)=3,WEEKDAY(C275,1)=3)</formula>
    </cfRule>
  </conditionalFormatting>
  <conditionalFormatting sqref="F275:F276">
    <cfRule type="expression" dxfId="294" priority="155">
      <formula>OR(WEEKDAY(C275,1)=5,WEEKDAY(C275,1)=5)</formula>
    </cfRule>
    <cfRule type="expression" dxfId="293" priority="156">
      <formula>OR(WEEKDAY(C275,1)=3,WEEKDAY(C275,1)=3)</formula>
    </cfRule>
  </conditionalFormatting>
  <conditionalFormatting sqref="F276">
    <cfRule type="expression" dxfId="292" priority="151">
      <formula>OR(WEEKDAY(C276,1)=5,WEEKDAY(C276,1)=5)</formula>
    </cfRule>
    <cfRule type="expression" dxfId="291" priority="152">
      <formula>OR(WEEKDAY(C276,1)=3,WEEKDAY(C276,1)=3)</formula>
    </cfRule>
  </conditionalFormatting>
  <conditionalFormatting sqref="F280:F281">
    <cfRule type="expression" dxfId="290" priority="140">
      <formula>OR(WEEKDAY(C280,1)=5,WEEKDAY(C280,1)=5)</formula>
    </cfRule>
    <cfRule type="expression" dxfId="289" priority="141">
      <formula>OR(WEEKDAY(C280,1)=3,WEEKDAY(C280,1)=3)</formula>
    </cfRule>
    <cfRule type="expression" dxfId="288" priority="144">
      <formula>OR(WEEKDAY(C280,1)=5,WEEKDAY(C280,1)=5)</formula>
    </cfRule>
    <cfRule type="expression" dxfId="287" priority="145">
      <formula>OR(WEEKDAY(C280,1)=3,WEEKDAY(C280,1)=3)</formula>
    </cfRule>
  </conditionalFormatting>
  <conditionalFormatting sqref="F282:F284">
    <cfRule type="expression" dxfId="286" priority="117">
      <formula>OR(WEEKDAY(C282,1)=5,WEEKDAY(C282,1)=5)</formula>
    </cfRule>
    <cfRule type="expression" dxfId="285" priority="118">
      <formula>OR(WEEKDAY(C282,1)=3,WEEKDAY(C282,1)=3)</formula>
    </cfRule>
  </conditionalFormatting>
  <conditionalFormatting sqref="F285">
    <cfRule type="expression" dxfId="284" priority="133">
      <formula>OR(WEEKDAY(C285,1)=5,WEEKDAY(C285,1)=5)</formula>
    </cfRule>
    <cfRule type="expression" dxfId="283" priority="134">
      <formula>OR(WEEKDAY(C285,1)=3,WEEKDAY(C285,1)=3)</formula>
    </cfRule>
  </conditionalFormatting>
  <conditionalFormatting sqref="F285:F286">
    <cfRule type="expression" dxfId="282" priority="124">
      <formula>OR(WEEKDAY(C285,1)=5,WEEKDAY(C285,1)=5)</formula>
    </cfRule>
    <cfRule type="expression" dxfId="281" priority="125">
      <formula>OR(WEEKDAY(C285,1)=3,WEEKDAY(C285,1)=3)</formula>
    </cfRule>
  </conditionalFormatting>
  <conditionalFormatting sqref="F286">
    <cfRule type="expression" dxfId="280" priority="120">
      <formula>OR(WEEKDAY(C286,1)=5,WEEKDAY(C286,1)=5)</formula>
    </cfRule>
    <cfRule type="expression" dxfId="279" priority="121">
      <formula>OR(WEEKDAY(C286,1)=3,WEEKDAY(C286,1)=3)</formula>
    </cfRule>
  </conditionalFormatting>
  <conditionalFormatting sqref="F289">
    <cfRule type="expression" dxfId="278" priority="106">
      <formula>OR($G289="48VACACI",$G289="49ENFERM")</formula>
    </cfRule>
    <cfRule type="expression" dxfId="277" priority="107">
      <formula>OR(WEEKDAY(C289,1)=5,WEEKDAY(C289,1)=5)</formula>
    </cfRule>
    <cfRule type="expression" dxfId="276" priority="108">
      <formula>OR(WEEKDAY(C289,1)=3,WEEKDAY(C289,1)=3)</formula>
    </cfRule>
  </conditionalFormatting>
  <conditionalFormatting sqref="F289:F290">
    <cfRule type="expression" dxfId="275" priority="103">
      <formula>OR(WEEKDAY(C289,1)=5,WEEKDAY(C289,1)=5)</formula>
    </cfRule>
    <cfRule type="expression" dxfId="274" priority="104">
      <formula>OR(WEEKDAY(C289,1)=3,WEEKDAY(C289,1)=3)</formula>
    </cfRule>
    <cfRule type="expression" dxfId="273" priority="105">
      <formula>OR(WEEKDAY(C289,1)=7,WEEKDAY(C289,1)=1)</formula>
    </cfRule>
  </conditionalFormatting>
  <conditionalFormatting sqref="F290:F294">
    <cfRule type="expression" dxfId="272" priority="92">
      <formula>OR(WEEKDAY(C290,1)=5,WEEKDAY(C290,1)=5)</formula>
    </cfRule>
    <cfRule type="expression" dxfId="271" priority="93">
      <formula>OR(WEEKDAY(C290,1)=3,WEEKDAY(C290,1)=3)</formula>
    </cfRule>
  </conditionalFormatting>
  <conditionalFormatting sqref="F291">
    <cfRule type="expression" dxfId="270" priority="102">
      <formula>OR(WEEKDAY(C291,1)=7,WEEKDAY(C291,1)=1)</formula>
    </cfRule>
  </conditionalFormatting>
  <conditionalFormatting sqref="F292">
    <cfRule type="expression" dxfId="269" priority="85">
      <formula>OR(WEEKDAY(C292,1)=5,WEEKDAY(C292,1)=5)</formula>
    </cfRule>
    <cfRule type="expression" dxfId="268" priority="86">
      <formula>OR(WEEKDAY(C292,1)=3,WEEKDAY(C292,1)=3)</formula>
    </cfRule>
    <cfRule type="expression" dxfId="267" priority="87">
      <formula>OR(WEEKDAY(C292,1)=7,WEEKDAY(C292,1)=1)</formula>
    </cfRule>
  </conditionalFormatting>
  <conditionalFormatting sqref="F294">
    <cfRule type="expression" dxfId="266" priority="88">
      <formula>OR(WEEKDAY(C294,1)=5,WEEKDAY(C294,1)=5)</formula>
    </cfRule>
    <cfRule type="expression" dxfId="265" priority="89">
      <formula>OR(WEEKDAY(C294,1)=3,WEEKDAY(C294,1)=3)</formula>
    </cfRule>
  </conditionalFormatting>
  <conditionalFormatting sqref="F301:F307">
    <cfRule type="expression" dxfId="264" priority="77">
      <formula>OR(WEEKDAY(C301,1)=5,WEEKDAY(C301,1)=5)</formula>
    </cfRule>
    <cfRule type="expression" dxfId="263" priority="78">
      <formula>OR(WEEKDAY(C301,1)=3,WEEKDAY(C301,1)=3)</formula>
    </cfRule>
  </conditionalFormatting>
  <conditionalFormatting sqref="F307">
    <cfRule type="expression" dxfId="262" priority="79">
      <formula>OR(WEEKDAY(C307,1)=7,WEEKDAY(C307,1)=1)</formula>
    </cfRule>
  </conditionalFormatting>
  <conditionalFormatting sqref="F307:F308">
    <cfRule type="expression" dxfId="261" priority="71">
      <formula>OR(WEEKDAY(C307,1)=5,WEEKDAY(C307,1)=5)</formula>
    </cfRule>
    <cfRule type="expression" dxfId="260" priority="72">
      <formula>OR(WEEKDAY(C307,1)=3,WEEKDAY(C307,1)=3)</formula>
    </cfRule>
  </conditionalFormatting>
  <conditionalFormatting sqref="F308">
    <cfRule type="expression" dxfId="259" priority="73">
      <formula>OR(WEEKDAY(C308,1)=7,WEEKDAY(C308,1)=1)</formula>
    </cfRule>
  </conditionalFormatting>
  <conditionalFormatting sqref="F308:F309">
    <cfRule type="expression" dxfId="258" priority="62">
      <formula>OR(WEEKDAY(C308,1)=5,WEEKDAY(C308,1)=5)</formula>
    </cfRule>
    <cfRule type="expression" dxfId="257" priority="63">
      <formula>OR(WEEKDAY(C308,1)=3,WEEKDAY(C308,1)=3)</formula>
    </cfRule>
  </conditionalFormatting>
  <conditionalFormatting sqref="F309">
    <cfRule type="expression" dxfId="256" priority="64">
      <formula>OR(WEEKDAY(C309,1)=7,WEEKDAY(C309,1)=1)</formula>
    </cfRule>
  </conditionalFormatting>
  <conditionalFormatting sqref="F312:F313">
    <cfRule type="expression" dxfId="255" priority="52">
      <formula>OR(WEEKDAY(C312,1)=5,WEEKDAY(C312,1)=5)</formula>
    </cfRule>
    <cfRule type="expression" dxfId="254" priority="53">
      <formula>OR(WEEKDAY(C312,1)=3,WEEKDAY(C312,1)=3)</formula>
    </cfRule>
  </conditionalFormatting>
  <conditionalFormatting sqref="F314">
    <cfRule type="expression" dxfId="253" priority="42">
      <formula>OR(WEEKDAY(C314,1)=5,WEEKDAY(C314,1)=5)</formula>
    </cfRule>
    <cfRule type="expression" dxfId="252" priority="43">
      <formula>OR(WEEKDAY(C314,1)=3,WEEKDAY(C314,1)=3)</formula>
    </cfRule>
    <cfRule type="expression" dxfId="251" priority="46">
      <formula>OR(WEEKDAY(C314,1)=5,WEEKDAY(C314,1)=5)</formula>
    </cfRule>
    <cfRule type="expression" dxfId="250" priority="47">
      <formula>OR(WEEKDAY(C314,1)=3,WEEKDAY(C314,1)=3)</formula>
    </cfRule>
  </conditionalFormatting>
  <conditionalFormatting sqref="F327">
    <cfRule type="expression" dxfId="249" priority="35">
      <formula>OR(WEEKDAY(C327,1)=5,WEEKDAY(C327,1)=5)</formula>
    </cfRule>
    <cfRule type="expression" dxfId="248" priority="36">
      <formula>OR(WEEKDAY(C327,1)=3,WEEKDAY(C327,1)=3)</formula>
    </cfRule>
  </conditionalFormatting>
  <conditionalFormatting sqref="F338:F349">
    <cfRule type="expression" dxfId="247" priority="28">
      <formula>OR(WEEKDAY(C338,1)=5,WEEKDAY(C338,1)=5)</formula>
    </cfRule>
    <cfRule type="expression" dxfId="246" priority="29">
      <formula>OR(WEEKDAY(C338,1)=3,WEEKDAY(C338,1)=3)</formula>
    </cfRule>
  </conditionalFormatting>
  <conditionalFormatting sqref="F352:F354">
    <cfRule type="expression" dxfId="245" priority="23">
      <formula>OR(WEEKDAY(C352,1)=5,WEEKDAY(C352,1)=5)</formula>
    </cfRule>
    <cfRule type="expression" dxfId="244" priority="24">
      <formula>OR(WEEKDAY(C352,1)=3,WEEKDAY(C352,1)=3)</formula>
    </cfRule>
  </conditionalFormatting>
  <conditionalFormatting sqref="F356:F359">
    <cfRule type="expression" dxfId="243" priority="19">
      <formula>OR(WEEKDAY(C356,1)=5,WEEKDAY(C356,1)=5)</formula>
    </cfRule>
    <cfRule type="expression" dxfId="242" priority="20">
      <formula>OR(WEEKDAY(C356,1)=3,WEEKDAY(C356,1)=3)</formula>
    </cfRule>
  </conditionalFormatting>
  <conditionalFormatting sqref="F360">
    <cfRule type="expression" dxfId="241" priority="16">
      <formula>OR($G360="48VACACI",$G360="49ENFERM")</formula>
    </cfRule>
  </conditionalFormatting>
  <conditionalFormatting sqref="F360:F361">
    <cfRule type="expression" dxfId="240" priority="14">
      <formula>OR(WEEKDAY(C360,1)=5,WEEKDAY(C360,1)=5)</formula>
    </cfRule>
    <cfRule type="expression" dxfId="239" priority="15">
      <formula>OR(WEEKDAY(C360,1)=3,WEEKDAY(C360,1)=3)</formula>
    </cfRule>
  </conditionalFormatting>
  <conditionalFormatting sqref="F362">
    <cfRule type="expression" dxfId="238" priority="10">
      <formula>OR(WEEKDAY(C362,1)=5,WEEKDAY(C362,1)=5)</formula>
    </cfRule>
    <cfRule type="expression" dxfId="237" priority="11">
      <formula>OR(WEEKDAY(C362,1)=3,WEEKDAY(C362,1)=3)</formula>
    </cfRule>
  </conditionalFormatting>
  <conditionalFormatting sqref="F179:G179">
    <cfRule type="expression" dxfId="236" priority="445">
      <formula>OR($G179="48VACACI",$G179="49ENFERM")</formula>
    </cfRule>
  </conditionalFormatting>
  <conditionalFormatting sqref="F185:G185">
    <cfRule type="expression" dxfId="235" priority="395">
      <formula>OR($G185="48VACACI",$G185="49ENFERM")</formula>
    </cfRule>
  </conditionalFormatting>
  <conditionalFormatting sqref="F199:G199">
    <cfRule type="expression" dxfId="234" priority="348">
      <formula>OR($G199="48VACACI",$G199="49ENFERM")</formula>
    </cfRule>
  </conditionalFormatting>
  <conditionalFormatting sqref="F202:G202">
    <cfRule type="expression" dxfId="233" priority="339">
      <formula>OR($G202="48VACACI",$G202="49ENFERM")</formula>
    </cfRule>
  </conditionalFormatting>
  <conditionalFormatting sqref="F239:G239">
    <cfRule type="expression" dxfId="232" priority="276">
      <formula>OR($G239="48VACACI",$G239="49ENFERM")</formula>
    </cfRule>
  </conditionalFormatting>
  <conditionalFormatting sqref="F255:G255">
    <cfRule type="expression" dxfId="231" priority="219">
      <formula>OR($G255="48VACACI",$G255="49ENFERM")</formula>
    </cfRule>
  </conditionalFormatting>
  <conditionalFormatting sqref="F5:H6">
    <cfRule type="expression" dxfId="230" priority="703">
      <formula>OR($G5="48VACACI",$G5="49ENFERM")</formula>
    </cfRule>
  </conditionalFormatting>
  <conditionalFormatting sqref="F8:H8">
    <cfRule type="expression" dxfId="229" priority="699">
      <formula>OR($G8="48VACACI",$G8="49ENFERM")</formula>
    </cfRule>
  </conditionalFormatting>
  <conditionalFormatting sqref="F10:H13">
    <cfRule type="expression" dxfId="228" priority="695">
      <formula>OR($G10="48VACACI",$G10="49ENFERM")</formula>
    </cfRule>
  </conditionalFormatting>
  <conditionalFormatting sqref="F18:H18">
    <cfRule type="expression" dxfId="227" priority="684">
      <formula>OR($G18="48VACACI",$G18="49ENFERM")</formula>
    </cfRule>
  </conditionalFormatting>
  <conditionalFormatting sqref="F51:H51">
    <cfRule type="expression" dxfId="226" priority="642">
      <formula>OR($G51="48VACACI",$G51="49ENFERM")</formula>
    </cfRule>
  </conditionalFormatting>
  <conditionalFormatting sqref="F62:H62">
    <cfRule type="expression" dxfId="225" priority="631">
      <formula>OR($G62="48VACACI",$G62="49ENFERM")</formula>
    </cfRule>
  </conditionalFormatting>
  <conditionalFormatting sqref="F76:H76">
    <cfRule type="expression" dxfId="224" priority="619">
      <formula>OR($G76="48VACACI",$G76="49ENFERM")</formula>
    </cfRule>
  </conditionalFormatting>
  <conditionalFormatting sqref="F88:H88">
    <cfRule type="expression" dxfId="223" priority="614">
      <formula>OR($G88="48VACACI",$G88="49ENFERM")</formula>
    </cfRule>
  </conditionalFormatting>
  <conditionalFormatting sqref="F98:H98 F20:H20 F31:H31 F43:H43 F52:H52 F243:H243 F244:G244 F337:H337 F351:H351 F364:H364 F373:H373 F379:H379 F386:H386 F393:H393 F400:H400 F407:H407 F413:H413 F420:H420 F427:H427 F434:H434 F441:H441 F200:H201 F279:H279 F326:H326">
    <cfRule type="expression" dxfId="222" priority="715">
      <formula>OR($G20="48VACACI",$G20="49ENFERM")</formula>
    </cfRule>
  </conditionalFormatting>
  <conditionalFormatting sqref="F103:H103">
    <cfRule type="expression" dxfId="221" priority="606">
      <formula>OR($G103="48VACACI",$G103="49ENFERM")</formula>
    </cfRule>
  </conditionalFormatting>
  <conditionalFormatting sqref="F104:H104">
    <cfRule type="expression" dxfId="220" priority="602">
      <formula>OR($G104="48VACACI",$G104="49ENFERM")</formula>
    </cfRule>
  </conditionalFormatting>
  <conditionalFormatting sqref="F106:H106">
    <cfRule type="expression" dxfId="219" priority="600">
      <formula>OR($G106="48VACACI",$G106="49ENFERM")</formula>
    </cfRule>
  </conditionalFormatting>
  <conditionalFormatting sqref="F108:H108">
    <cfRule type="expression" dxfId="218" priority="590">
      <formula>OR($G108="48VACACI",$G108="49ENFERM")</formula>
    </cfRule>
  </conditionalFormatting>
  <conditionalFormatting sqref="F109:H110">
    <cfRule type="expression" dxfId="217" priority="587">
      <formula>OR($G109="48VACACI",$G109="49ENFERM")</formula>
    </cfRule>
  </conditionalFormatting>
  <conditionalFormatting sqref="F113:H113">
    <cfRule type="expression" dxfId="216" priority="586">
      <formula>OR($G113="48VACACI",$G113="49ENFERM")</formula>
    </cfRule>
  </conditionalFormatting>
  <conditionalFormatting sqref="F116:H121">
    <cfRule type="expression" dxfId="215" priority="568">
      <formula>OR($G116="48VACACI",$G116="49ENFERM")</formula>
    </cfRule>
  </conditionalFormatting>
  <conditionalFormatting sqref="F130:H131">
    <cfRule type="expression" dxfId="214" priority="581">
      <formula>OR($G130="48VACACI",$G130="49ENFERM")</formula>
    </cfRule>
  </conditionalFormatting>
  <conditionalFormatting sqref="F134:H136">
    <cfRule type="expression" dxfId="213" priority="576">
      <formula>OR($G134="48VACACI",$G134="49ENFERM")</formula>
    </cfRule>
  </conditionalFormatting>
  <conditionalFormatting sqref="F148:H150">
    <cfRule type="expression" dxfId="212" priority="552">
      <formula>OR($G148="48VACACI",$G148="49ENFERM")</formula>
    </cfRule>
  </conditionalFormatting>
  <conditionalFormatting sqref="F155:H155">
    <cfRule type="expression" dxfId="211" priority="519">
      <formula>OR($G155="48VACACI",$G155="49ENFERM")</formula>
    </cfRule>
  </conditionalFormatting>
  <conditionalFormatting sqref="F158:H158">
    <cfRule type="expression" dxfId="210" priority="515">
      <formula>OR($G158="48VACACI",$G158="49ENFERM")</formula>
    </cfRule>
  </conditionalFormatting>
  <conditionalFormatting sqref="F168:H169">
    <cfRule type="expression" dxfId="209" priority="476">
      <formula>OR($G168="48VACACI",$G168="49ENFERM")</formula>
    </cfRule>
  </conditionalFormatting>
  <conditionalFormatting sqref="F176:H176">
    <cfRule type="expression" dxfId="208" priority="436">
      <formula>OR($G176="48VACACI",$G176="49ENFERM")</formula>
    </cfRule>
  </conditionalFormatting>
  <conditionalFormatting sqref="F205:H205">
    <cfRule type="expression" dxfId="207" priority="334">
      <formula>OR($G205="48VACACI",$G205="49ENFERM")</formula>
    </cfRule>
  </conditionalFormatting>
  <conditionalFormatting sqref="F227:H228">
    <cfRule type="expression" dxfId="206" priority="311">
      <formula>OR($G227="48VACACI",$G227="49ENFERM")</formula>
    </cfRule>
  </conditionalFormatting>
  <conditionalFormatting sqref="F229:H231">
    <cfRule type="expression" dxfId="205" priority="723">
      <formula>OR($G229="48VACACI",$G229="49ENFERM")</formula>
    </cfRule>
  </conditionalFormatting>
  <conditionalFormatting sqref="F233:H233">
    <cfRule type="expression" dxfId="204" priority="318">
      <formula>OR($G233="48VACACI",$G233="49ENFERM")</formula>
    </cfRule>
  </conditionalFormatting>
  <conditionalFormatting sqref="F235:H235">
    <cfRule type="expression" dxfId="203" priority="305">
      <formula>OR($G235="48VACACI",$G235="49ENFERM")</formula>
    </cfRule>
  </conditionalFormatting>
  <conditionalFormatting sqref="F238:H238 H239">
    <cfRule type="expression" dxfId="202" priority="295">
      <formula>OR($G238="48VACACI",$G238="49ENFERM")</formula>
    </cfRule>
  </conditionalFormatting>
  <conditionalFormatting sqref="F240:H240">
    <cfRule type="expression" dxfId="201" priority="269">
      <formula>OR($G240="48VACACI",$G240="49ENFERM")</formula>
    </cfRule>
  </conditionalFormatting>
  <conditionalFormatting sqref="F245:H245">
    <cfRule type="expression" dxfId="200" priority="254">
      <formula>OR($G245="48VACACI",$G245="49ENFERM")</formula>
    </cfRule>
  </conditionalFormatting>
  <conditionalFormatting sqref="F247:H247">
    <cfRule type="expression" dxfId="199" priority="248">
      <formula>OR($G247="48VACACI",$G247="49ENFERM")</formula>
    </cfRule>
  </conditionalFormatting>
  <conditionalFormatting sqref="F251:H251">
    <cfRule type="expression" dxfId="198" priority="240">
      <formula>OR($G251="48VACACI",$G251="49ENFERM")</formula>
    </cfRule>
  </conditionalFormatting>
  <conditionalFormatting sqref="F252:H252">
    <cfRule type="expression" dxfId="197" priority="281">
      <formula>OR($G252="48VACACI",$G252="49ENFERM")</formula>
    </cfRule>
  </conditionalFormatting>
  <conditionalFormatting sqref="F256:H256">
    <cfRule type="expression" dxfId="196" priority="224">
      <formula>OR($G256="48VACACI",$G256="49ENFERM")</formula>
    </cfRule>
  </conditionalFormatting>
  <conditionalFormatting sqref="F257:H257">
    <cfRule type="expression" dxfId="195" priority="211">
      <formula>OR($G257="48VACACI",$G257="49ENFERM")</formula>
    </cfRule>
  </conditionalFormatting>
  <conditionalFormatting sqref="F260:H260">
    <cfRule type="expression" dxfId="194" priority="207">
      <formula>OR($G260="48VACACI",$G260="49ENFERM")</formula>
    </cfRule>
  </conditionalFormatting>
  <conditionalFormatting sqref="F261:H261">
    <cfRule type="expression" dxfId="193" priority="202">
      <formula>OR($G261="48VACACI",$G261="49ENFERM")</formula>
    </cfRule>
  </conditionalFormatting>
  <conditionalFormatting sqref="F262:H262">
    <cfRule type="expression" dxfId="192" priority="198">
      <formula>OR($G262="48VACACI",$G262="49ENFERM")</formula>
    </cfRule>
  </conditionalFormatting>
  <conditionalFormatting sqref="F263:H263">
    <cfRule type="expression" dxfId="191" priority="193">
      <formula>OR($G263="48VACACI",$G263="49ENFERM")</formula>
    </cfRule>
  </conditionalFormatting>
  <conditionalFormatting sqref="F265:H266">
    <cfRule type="expression" dxfId="190" priority="186">
      <formula>OR($G265="48VACACI",$G265="49ENFERM")</formula>
    </cfRule>
  </conditionalFormatting>
  <conditionalFormatting sqref="F267:H267">
    <cfRule type="expression" dxfId="189" priority="182">
      <formula>OR($G267="48VACACI",$G267="49ENFERM")</formula>
    </cfRule>
  </conditionalFormatting>
  <conditionalFormatting sqref="F270:H270">
    <cfRule type="expression" dxfId="188" priority="172">
      <formula>OR($G270="48VACACI",$G270="49ENFERM")</formula>
    </cfRule>
  </conditionalFormatting>
  <conditionalFormatting sqref="F273:H274">
    <cfRule type="expression" dxfId="187" priority="165">
      <formula>OR($G273="48VACACI",$G273="49ENFERM")</formula>
    </cfRule>
  </conditionalFormatting>
  <conditionalFormatting sqref="F275:H275">
    <cfRule type="expression" dxfId="186" priority="158">
      <formula>OR($G275="48VACACI",$G275="49ENFERM")</formula>
    </cfRule>
  </conditionalFormatting>
  <conditionalFormatting sqref="F276:H276">
    <cfRule type="expression" dxfId="185" priority="153">
      <formula>OR($G276="48VACACI",$G276="49ENFERM")</formula>
    </cfRule>
  </conditionalFormatting>
  <conditionalFormatting sqref="F280:H280">
    <cfRule type="expression" dxfId="184" priority="142">
      <formula>OR($G280="48VACACI",$G280="49ENFERM")</formula>
    </cfRule>
  </conditionalFormatting>
  <conditionalFormatting sqref="F281:H284">
    <cfRule type="expression" dxfId="183" priority="114">
      <formula>OR($G281="48VACACI",$G281="49ENFERM")</formula>
    </cfRule>
  </conditionalFormatting>
  <conditionalFormatting sqref="F285:H285">
    <cfRule type="expression" dxfId="182" priority="131">
      <formula>OR($G285="48VACACI",$G285="49ENFERM")</formula>
    </cfRule>
  </conditionalFormatting>
  <conditionalFormatting sqref="F286:H286">
    <cfRule type="expression" dxfId="181" priority="122">
      <formula>OR($G286="48VACACI",$G286="49ENFERM")</formula>
    </cfRule>
  </conditionalFormatting>
  <conditionalFormatting sqref="F289:H289">
    <cfRule type="expression" dxfId="180" priority="109">
      <formula>OR($G289="48VACACI",$G289="49ENFERM")</formula>
    </cfRule>
  </conditionalFormatting>
  <conditionalFormatting sqref="F290:H291">
    <cfRule type="expression" dxfId="179" priority="100">
      <formula>OR($G290="48VACACI",$G290="49ENFERM")</formula>
    </cfRule>
  </conditionalFormatting>
  <conditionalFormatting sqref="F292:H292">
    <cfRule type="expression" dxfId="178" priority="84">
      <formula>OR($G292="48VACACI",$G292="49ENFERM")</formula>
    </cfRule>
  </conditionalFormatting>
  <conditionalFormatting sqref="F293:H293">
    <cfRule type="expression" dxfId="177" priority="97">
      <formula>OR($G293="48VACACI",$G293="49ENFERM")</formula>
    </cfRule>
  </conditionalFormatting>
  <conditionalFormatting sqref="F294:H294">
    <cfRule type="expression" dxfId="176" priority="90">
      <formula>OR($G294="48VACACI",$G294="49ENFERM")</formula>
    </cfRule>
  </conditionalFormatting>
  <conditionalFormatting sqref="F295:H297">
    <cfRule type="expression" dxfId="175" priority="112">
      <formula>OR($G295="48VACACI",$G295="49ENFERM")</formula>
    </cfRule>
  </conditionalFormatting>
  <conditionalFormatting sqref="F300:H301">
    <cfRule type="expression" dxfId="174" priority="82">
      <formula>OR($G300="48VACACI",$G300="49ENFERM")</formula>
    </cfRule>
  </conditionalFormatting>
  <conditionalFormatting sqref="F302:H306">
    <cfRule type="expression" dxfId="173" priority="66">
      <formula>OR($G302="48VACACI",$G302="49ENFERM")</formula>
    </cfRule>
  </conditionalFormatting>
  <conditionalFormatting sqref="F307:H307">
    <cfRule type="expression" dxfId="172" priority="75">
      <formula>OR($G307="48VACACI",$G307="49ENFERM")</formula>
    </cfRule>
  </conditionalFormatting>
  <conditionalFormatting sqref="F308:H308">
    <cfRule type="expression" dxfId="171" priority="69">
      <formula>OR($G308="48VACACI",$G308="49ENFERM")</formula>
    </cfRule>
  </conditionalFormatting>
  <conditionalFormatting sqref="F309:H309">
    <cfRule type="expression" dxfId="170" priority="60">
      <formula>OR($G309="48VACACI",$G309="49ENFERM")</formula>
    </cfRule>
  </conditionalFormatting>
  <conditionalFormatting sqref="F312:H312">
    <cfRule type="expression" dxfId="169" priority="54">
      <formula>OR($G312="48VACACI",$G312="49ENFERM")</formula>
    </cfRule>
  </conditionalFormatting>
  <conditionalFormatting sqref="F313:H317">
    <cfRule type="expression" dxfId="168" priority="44">
      <formula>OR($G313="48VACACI",$G313="49ENFERM")</formula>
    </cfRule>
  </conditionalFormatting>
  <conditionalFormatting sqref="F320:H324">
    <cfRule type="expression" dxfId="167" priority="40">
      <formula>OR($G320="48VACACI",$G320="49ENFERM")</formula>
    </cfRule>
  </conditionalFormatting>
  <conditionalFormatting sqref="F327:H327">
    <cfRule type="expression" dxfId="166" priority="37">
      <formula>OR($G327="48VACACI",$G327="49ENFERM")</formula>
    </cfRule>
  </conditionalFormatting>
  <conditionalFormatting sqref="F338:H349">
    <cfRule type="expression" dxfId="165" priority="30">
      <formula>OR($G338="48VACACI",$G338="49ENFERM")</formula>
    </cfRule>
  </conditionalFormatting>
  <conditionalFormatting sqref="F352:H354">
    <cfRule type="expression" dxfId="164" priority="25">
      <formula>OR($G352="48VACACI",$G352="49ENFERM")</formula>
    </cfRule>
  </conditionalFormatting>
  <conditionalFormatting sqref="F356:H357">
    <cfRule type="expression" dxfId="163" priority="21">
      <formula>OR($G356="48VACACI",$G356="49ENFERM")</formula>
    </cfRule>
  </conditionalFormatting>
  <conditionalFormatting sqref="F358:H359">
    <cfRule type="expression" dxfId="162" priority="17">
      <formula>OR($G358="48VACACI",$G358="49ENFERM")</formula>
    </cfRule>
  </conditionalFormatting>
  <conditionalFormatting sqref="F361:H362">
    <cfRule type="expression" dxfId="161" priority="12">
      <formula>OR($G361="48VACACI",$G361="49ENFERM")</formula>
    </cfRule>
  </conditionalFormatting>
  <conditionalFormatting sqref="F448:H448">
    <cfRule type="expression" dxfId="160" priority="706">
      <formula>OR($G448="48VACACI",$G448="49ENFERM")</formula>
    </cfRule>
  </conditionalFormatting>
  <conditionalFormatting sqref="F455:H455 F462:H462 F469:H469 F476:H476 F483:H483 F490:H490 F497:H497">
    <cfRule type="expression" dxfId="159" priority="705">
      <formula>OR($G455="48VACACI",$G455="49ENFERM")</formula>
    </cfRule>
  </conditionalFormatting>
  <conditionalFormatting sqref="G117:G118">
    <cfRule type="expression" dxfId="158" priority="584">
      <formula>OR($G117="48VACACI",$G117="49ENFERM")</formula>
    </cfRule>
  </conditionalFormatting>
  <conditionalFormatting sqref="G121">
    <cfRule type="expression" dxfId="157" priority="570">
      <formula>OR($G121="48VACACI",$G121="49ENFERM")</formula>
    </cfRule>
  </conditionalFormatting>
  <conditionalFormatting sqref="G128">
    <cfRule type="expression" dxfId="156" priority="562">
      <formula>OR($G128="48VACACI",$G128="49ENFERM")</formula>
    </cfRule>
  </conditionalFormatting>
  <conditionalFormatting sqref="G146 G226:H226 G363:H363 G370:H372">
    <cfRule type="expression" dxfId="155" priority="549">
      <formula>OR(WEEKDAY(B146,1)=7,WEEKDAY(B146,1)=1)</formula>
    </cfRule>
  </conditionalFormatting>
  <conditionalFormatting sqref="G156:G157">
    <cfRule type="expression" dxfId="154" priority="536">
      <formula>OR(WEEKDAY(B156,1)=7,WEEKDAY(B156,1)=1)</formula>
    </cfRule>
  </conditionalFormatting>
  <conditionalFormatting sqref="G177">
    <cfRule type="expression" dxfId="153" priority="451">
      <formula>OR(WEEKDAY(B177,1)=7,WEEKDAY(B177,1)=1)</formula>
    </cfRule>
  </conditionalFormatting>
  <conditionalFormatting sqref="G179">
    <cfRule type="expression" dxfId="152" priority="446">
      <formula>OR(WEEKDAY(B179,1)=7,WEEKDAY(B179,1)=1)</formula>
    </cfRule>
  </conditionalFormatting>
  <conditionalFormatting sqref="G183">
    <cfRule type="expression" dxfId="151" priority="406">
      <formula>OR(WEEKDAY(B183,1)=7,WEEKDAY(B183,1)=1)</formula>
    </cfRule>
  </conditionalFormatting>
  <conditionalFormatting sqref="G185">
    <cfRule type="expression" dxfId="150" priority="396">
      <formula>OR(WEEKDAY(B185,1)=7,WEEKDAY(B185,1)=1)</formula>
    </cfRule>
  </conditionalFormatting>
  <conditionalFormatting sqref="G186:G187">
    <cfRule type="expression" dxfId="149" priority="390">
      <formula>OR(WEEKDAY(B186,1)=7,WEEKDAY(B186,1)=1)</formula>
    </cfRule>
  </conditionalFormatting>
  <conditionalFormatting sqref="G189">
    <cfRule type="expression" dxfId="148" priority="384">
      <formula>OR(WEEKDAY(B189,1)=7,WEEKDAY(B189,1)=1)</formula>
    </cfRule>
  </conditionalFormatting>
  <conditionalFormatting sqref="G199">
    <cfRule type="expression" dxfId="147" priority="349">
      <formula>OR(WEEKDAY(B199,1)=7,WEEKDAY(B199,1)=1)</formula>
    </cfRule>
  </conditionalFormatting>
  <conditionalFormatting sqref="G202">
    <cfRule type="expression" dxfId="146" priority="340">
      <formula>OR(WEEKDAY(B202,1)=7,WEEKDAY(B202,1)=1)</formula>
    </cfRule>
  </conditionalFormatting>
  <conditionalFormatting sqref="G255">
    <cfRule type="expression" dxfId="145" priority="220">
      <formula>OR(WEEKDAY(B255,1)=7,WEEKDAY(B255,1)=1)</formula>
    </cfRule>
  </conditionalFormatting>
  <conditionalFormatting sqref="G303">
    <cfRule type="expression" dxfId="144" priority="65">
      <formula>OR(WEEKDAY(B303,1)=7,WEEKDAY(B303,1)=1)</formula>
    </cfRule>
  </conditionalFormatting>
  <conditionalFormatting sqref="G5:H7">
    <cfRule type="expression" dxfId="143" priority="704">
      <formula>OR(WEEKDAY(B5,1)=7,WEEKDAY(B5,1)=1)</formula>
    </cfRule>
  </conditionalFormatting>
  <conditionalFormatting sqref="G8:H8">
    <cfRule type="expression" dxfId="142" priority="700">
      <formula>OR(WEEKDAY(B8,1)=7,WEEKDAY(B8,1)=1)</formula>
    </cfRule>
  </conditionalFormatting>
  <conditionalFormatting sqref="G9:H9">
    <cfRule type="expression" dxfId="141" priority="689">
      <formula>OR(WEEKDAY(B9,1)=7,WEEKDAY(B9,1)=1)</formula>
    </cfRule>
  </conditionalFormatting>
  <conditionalFormatting sqref="G10:H14">
    <cfRule type="expression" dxfId="140" priority="696">
      <formula>OR(WEEKDAY(B10,1)=7,WEEKDAY(B10,1)=1)</formula>
    </cfRule>
  </conditionalFormatting>
  <conditionalFormatting sqref="G15:H18">
    <cfRule type="expression" dxfId="139" priority="685">
      <formula>OR(WEEKDAY(B15,1)=7,WEEKDAY(B15,1)=1)</formula>
    </cfRule>
  </conditionalFormatting>
  <conditionalFormatting sqref="G17:H17">
    <cfRule type="expression" dxfId="138" priority="672">
      <formula>OR(WEEKDAY(B17,1)=7,WEEKDAY(B17,1)=1)</formula>
    </cfRule>
  </conditionalFormatting>
  <conditionalFormatting sqref="G19:H19">
    <cfRule type="expression" dxfId="137" priority="670">
      <formula>OR($G19="48VACACI",$G19="49ENFERM")</formula>
    </cfRule>
    <cfRule type="expression" dxfId="136" priority="671">
      <formula>OR(WEEKDAY(B19,1)=7,WEEKDAY(B19,1)=1)</formula>
    </cfRule>
  </conditionalFormatting>
  <conditionalFormatting sqref="G20:H21 G31:H32 G43:H44 G51:H53 G98:H99 G200:H201 G243:H243 G244 G279:H279 G326:H326 G337:H337 G351:H351 G364:H364 G373:H374 G379:H380 G386:H387 G393:H394 G400:H401 G407:H408 G413:H414 G420:H421 G427:H428 G434:H435 G441:H442">
    <cfRule type="expression" dxfId="135" priority="716">
      <formula>OR(WEEKDAY(B20,1)=7,WEEKDAY(B20,1)=1)</formula>
    </cfRule>
  </conditionalFormatting>
  <conditionalFormatting sqref="G22:H30">
    <cfRule type="expression" dxfId="134" priority="664">
      <formula>OR(WEEKDAY(B22,1)=7,WEEKDAY(B22,1)=1)</formula>
    </cfRule>
  </conditionalFormatting>
  <conditionalFormatting sqref="G33:H42">
    <cfRule type="expression" dxfId="133" priority="655">
      <formula>OR(WEEKDAY(B33,1)=7,WEEKDAY(B33,1)=1)</formula>
    </cfRule>
  </conditionalFormatting>
  <conditionalFormatting sqref="G45:H50">
    <cfRule type="expression" dxfId="132" priority="647">
      <formula>OR(WEEKDAY(B45,1)=7,WEEKDAY(B45,1)=1)</formula>
    </cfRule>
  </conditionalFormatting>
  <conditionalFormatting sqref="G54:H61">
    <cfRule type="expression" dxfId="131" priority="637">
      <formula>OR(WEEKDAY(B54,1)=7,WEEKDAY(B54,1)=1)</formula>
    </cfRule>
  </conditionalFormatting>
  <conditionalFormatting sqref="G62:H68">
    <cfRule type="expression" dxfId="130" priority="632">
      <formula>OR(WEEKDAY(B62,1)=7,WEEKDAY(B62,1)=1)</formula>
    </cfRule>
  </conditionalFormatting>
  <conditionalFormatting sqref="G69:H75">
    <cfRule type="expression" dxfId="129" priority="625">
      <formula>OR(WEEKDAY(B69,1)=7,WEEKDAY(B69,1)=1)</formula>
    </cfRule>
  </conditionalFormatting>
  <conditionalFormatting sqref="G76:H79">
    <cfRule type="expression" dxfId="128" priority="620">
      <formula>OR(WEEKDAY(B76,1)=7,WEEKDAY(B76,1)=1)</formula>
    </cfRule>
  </conditionalFormatting>
  <conditionalFormatting sqref="G80:H87 G4:H4">
    <cfRule type="expression" dxfId="127" priority="686">
      <formula>OR(WEEKDAY(B4,1)=7,WEEKDAY(B4,1)=1)</formula>
    </cfRule>
  </conditionalFormatting>
  <conditionalFormatting sqref="G88:H88">
    <cfRule type="expression" dxfId="126" priority="615">
      <formula>OR(WEEKDAY(B88,1)=7,WEEKDAY(B88,1)=1)</formula>
    </cfRule>
  </conditionalFormatting>
  <conditionalFormatting sqref="G89:H90 G92:H97 G100:H102 G105:H105 G108:H117 G122:H124 G125 G126:H126 G127 G129:H129 G132:H133 G139:H145 G148:H152 G170 G171:H172 G181:H182 G194:H195 G207:H208 G221:H222 G234:H234 G236:H237 G249:H249 G253:H254 G268:H269 G277:H278 G287:H288 G298:H299 G310:H311 G318:H319 G325:H325 G328:H331 G333:H336 G350:H350 G355:H355 G375:H378 G381:H385 G388:H392 G395:H399 G402:H406 G409:H412 G415:H419 G422:H426 G429:H433 G436:H440 G443:H503">
    <cfRule type="expression" dxfId="125" priority="711">
      <formula>OR(WEEKDAY(B89,1)=7,WEEKDAY(B89,1)=1)</formula>
    </cfRule>
  </conditionalFormatting>
  <conditionalFormatting sqref="G91:H91">
    <cfRule type="expression" dxfId="124" priority="611">
      <formula>OR(WEEKDAY(B91,1)=7,WEEKDAY(B91,1)=1)</formula>
    </cfRule>
  </conditionalFormatting>
  <conditionalFormatting sqref="G103:H103">
    <cfRule type="expression" dxfId="123" priority="607">
      <formula>OR(WEEKDAY(B103,1)=7,WEEKDAY(B103,1)=1)</formula>
    </cfRule>
  </conditionalFormatting>
  <conditionalFormatting sqref="G104:H104">
    <cfRule type="expression" dxfId="122" priority="603">
      <formula>OR(WEEKDAY(B104,1)=7,WEEKDAY(B104,1)=1)</formula>
    </cfRule>
  </conditionalFormatting>
  <conditionalFormatting sqref="G106:H106">
    <cfRule type="expression" dxfId="121" priority="601">
      <formula>OR(WEEKDAY(B106,1)=7,WEEKDAY(B106,1)=1)</formula>
    </cfRule>
  </conditionalFormatting>
  <conditionalFormatting sqref="G107:H107">
    <cfRule type="expression" dxfId="120" priority="596">
      <formula>OR(WEEKDAY(B107,1)=7,WEEKDAY(B107,1)=1)</formula>
    </cfRule>
  </conditionalFormatting>
  <conditionalFormatting sqref="G118:H121">
    <cfRule type="expression" dxfId="119" priority="569">
      <formula>OR(WEEKDAY(B118,1)=7,WEEKDAY(B118,1)=1)</formula>
    </cfRule>
  </conditionalFormatting>
  <conditionalFormatting sqref="G128:H128">
    <cfRule type="expression" dxfId="118" priority="560">
      <formula>OR($G128="48VACACI",$G128="49ENFERM")</formula>
    </cfRule>
    <cfRule type="expression" dxfId="117" priority="561">
      <formula>OR(WEEKDAY(B128,1)=7,WEEKDAY(B128,1)=1)</formula>
    </cfRule>
  </conditionalFormatting>
  <conditionalFormatting sqref="G130:H131">
    <cfRule type="expression" dxfId="116" priority="582">
      <formula>OR(WEEKDAY(B130,1)=7,WEEKDAY(B130,1)=1)</formula>
    </cfRule>
  </conditionalFormatting>
  <conditionalFormatting sqref="G134:H136">
    <cfRule type="expression" dxfId="115" priority="577">
      <formula>OR(WEEKDAY(B134,1)=7,WEEKDAY(B134,1)=1)</formula>
    </cfRule>
  </conditionalFormatting>
  <conditionalFormatting sqref="G137:H138">
    <cfRule type="expression" dxfId="114" priority="571">
      <formula>OR(WEEKDAY(B137,1)=7,WEEKDAY(B137,1)=1)</formula>
    </cfRule>
  </conditionalFormatting>
  <conditionalFormatting sqref="G147:H147">
    <cfRule type="expression" dxfId="113" priority="554">
      <formula>OR(WEEKDAY(B147,1)=7,WEEKDAY(B147,1)=1)</formula>
    </cfRule>
  </conditionalFormatting>
  <conditionalFormatting sqref="G153:H154">
    <cfRule type="expression" dxfId="112" priority="543">
      <formula>OR(WEEKDAY(B153,1)=7,WEEKDAY(B153,1)=1)</formula>
    </cfRule>
  </conditionalFormatting>
  <conditionalFormatting sqref="G155:H155">
    <cfRule type="expression" dxfId="111" priority="520">
      <formula>OR(WEEKDAY(B155,1)=7,WEEKDAY(B155,1)=1)</formula>
    </cfRule>
  </conditionalFormatting>
  <conditionalFormatting sqref="G158:H158">
    <cfRule type="expression" dxfId="110" priority="516">
      <formula>OR(WEEKDAY(B158,1)=7,WEEKDAY(B158,1)=1)</formula>
    </cfRule>
  </conditionalFormatting>
  <conditionalFormatting sqref="G159:H159">
    <cfRule type="expression" dxfId="109" priority="511">
      <formula>OR($G159="48VACACI",$G159="49ENFERM")</formula>
    </cfRule>
    <cfRule type="expression" dxfId="108" priority="512">
      <formula>OR(WEEKDAY(B159,1)=7,WEEKDAY(B159,1)=1)</formula>
    </cfRule>
  </conditionalFormatting>
  <conditionalFormatting sqref="G160:H162">
    <cfRule type="expression" dxfId="107" priority="528">
      <formula>OR(WEEKDAY(B160,1)=7,WEEKDAY(B160,1)=1)</formula>
    </cfRule>
  </conditionalFormatting>
  <conditionalFormatting sqref="G163:H163">
    <cfRule type="expression" dxfId="106" priority="487">
      <formula>OR($G163="48VACACI",$G163="49ENFERM")</formula>
    </cfRule>
    <cfRule type="expression" dxfId="105" priority="488">
      <formula>OR(WEEKDAY(B163,1)=7,WEEKDAY(B163,1)=1)</formula>
    </cfRule>
  </conditionalFormatting>
  <conditionalFormatting sqref="G164:H164">
    <cfRule type="expression" dxfId="104" priority="509">
      <formula>OR(WEEKDAY(B164,1)=7,WEEKDAY(B164,1)=1)</formula>
    </cfRule>
  </conditionalFormatting>
  <conditionalFormatting sqref="G165:H166">
    <cfRule type="expression" dxfId="103" priority="479">
      <formula>OR($G165="48VACACI",$G165="49ENFERM")</formula>
    </cfRule>
    <cfRule type="expression" dxfId="102" priority="480">
      <formula>OR(WEEKDAY(B165,1)=7,WEEKDAY(B165,1)=1)</formula>
    </cfRule>
  </conditionalFormatting>
  <conditionalFormatting sqref="G167:H167">
    <cfRule type="expression" dxfId="101" priority="499">
      <formula>OR(WEEKDAY(B167,1)=7,WEEKDAY(B167,1)=1)</formula>
    </cfRule>
  </conditionalFormatting>
  <conditionalFormatting sqref="G168:H169">
    <cfRule type="expression" dxfId="100" priority="477">
      <formula>OR(WEEKDAY(B168,1)=7,WEEKDAY(B168,1)=1)</formula>
    </cfRule>
  </conditionalFormatting>
  <conditionalFormatting sqref="G173:H175">
    <cfRule type="expression" dxfId="99" priority="468">
      <formula>OR(WEEKDAY(B173,1)=7,WEEKDAY(B173,1)=1)</formula>
    </cfRule>
  </conditionalFormatting>
  <conditionalFormatting sqref="G176:H176">
    <cfRule type="expression" dxfId="98" priority="437">
      <formula>OR(WEEKDAY(B176,1)=7,WEEKDAY(B176,1)=1)</formula>
    </cfRule>
  </conditionalFormatting>
  <conditionalFormatting sqref="G178:H178 G180:H180">
    <cfRule type="expression" dxfId="97" priority="459">
      <formula>OR(WEEKDAY(B178,1)=7,WEEKDAY(B178,1)=1)</formula>
    </cfRule>
  </conditionalFormatting>
  <conditionalFormatting sqref="G184:H184">
    <cfRule type="expression" dxfId="96" priority="432">
      <formula>OR(WEEKDAY(B184,1)=7,WEEKDAY(B184,1)=1)</formula>
    </cfRule>
  </conditionalFormatting>
  <conditionalFormatting sqref="G188:H188">
    <cfRule type="expression" dxfId="95" priority="423">
      <formula>OR(WEEKDAY(B188,1)=7,WEEKDAY(B188,1)=1)</formula>
    </cfRule>
  </conditionalFormatting>
  <conditionalFormatting sqref="G190:H190">
    <cfRule type="expression" dxfId="94" priority="414">
      <formula>OR(WEEKDAY(B190,1)=7,WEEKDAY(B190,1)=1)</formula>
    </cfRule>
  </conditionalFormatting>
  <conditionalFormatting sqref="G191:H193">
    <cfRule type="expression" dxfId="93" priority="373">
      <formula>OR(WEEKDAY(B191,1)=7,WEEKDAY(B191,1)=1)</formula>
    </cfRule>
  </conditionalFormatting>
  <conditionalFormatting sqref="G196:H198">
    <cfRule type="expression" dxfId="92" priority="366">
      <formula>OR(WEEKDAY(B196,1)=7,WEEKDAY(B196,1)=1)</formula>
    </cfRule>
  </conditionalFormatting>
  <conditionalFormatting sqref="G203:H205">
    <cfRule type="expression" dxfId="91" priority="358">
      <formula>OR(WEEKDAY(B203,1)=7,WEEKDAY(B203,1)=1)</formula>
    </cfRule>
  </conditionalFormatting>
  <conditionalFormatting sqref="G206:H206">
    <cfRule type="expression" dxfId="90" priority="341">
      <formula>OR(WEEKDAY(B206,1)=7,WEEKDAY(B206,1)=1)</formula>
    </cfRule>
  </conditionalFormatting>
  <conditionalFormatting sqref="G209:H211 G212:G213 G214:H220">
    <cfRule type="expression" dxfId="89" priority="333">
      <formula>OR(WEEKDAY(B209,1)=7,WEEKDAY(B209,1)=1)</formula>
    </cfRule>
  </conditionalFormatting>
  <conditionalFormatting sqref="G223:H225">
    <cfRule type="expression" dxfId="88" priority="308">
      <formula>OR(WEEKDAY(B223,1)=7,WEEKDAY(B223,1)=1)</formula>
    </cfRule>
  </conditionalFormatting>
  <conditionalFormatting sqref="G227:H231">
    <cfRule type="expression" dxfId="87" priority="312">
      <formula>OR(WEEKDAY(B227,1)=7,WEEKDAY(B227,1)=1)</formula>
    </cfRule>
  </conditionalFormatting>
  <conditionalFormatting sqref="G232:H232">
    <cfRule type="expression" dxfId="86" priority="323">
      <formula>OR(WEEKDAY(B232,1)=7,WEEKDAY(B232,1)=1)</formula>
    </cfRule>
  </conditionalFormatting>
  <conditionalFormatting sqref="G233:H233">
    <cfRule type="expression" dxfId="85" priority="319">
      <formula>OR(WEEKDAY(B233,1)=7,WEEKDAY(B233,1)=1)</formula>
    </cfRule>
  </conditionalFormatting>
  <conditionalFormatting sqref="G235:H235">
    <cfRule type="expression" dxfId="84" priority="306">
      <formula>OR(WEEKDAY(B235,1)=7,WEEKDAY(B235,1)=1)</formula>
    </cfRule>
  </conditionalFormatting>
  <conditionalFormatting sqref="G238:H239">
    <cfRule type="expression" dxfId="83" priority="277">
      <formula>OR(WEEKDAY(B238,1)=7,WEEKDAY(B238,1)=1)</formula>
    </cfRule>
  </conditionalFormatting>
  <conditionalFormatting sqref="G240:H241">
    <cfRule type="expression" dxfId="82" priority="270">
      <formula>OR(WEEKDAY(B240,1)=7,WEEKDAY(B240,1)=1)</formula>
    </cfRule>
  </conditionalFormatting>
  <conditionalFormatting sqref="G242:H242">
    <cfRule type="expression" dxfId="81" priority="262">
      <formula>OR(WEEKDAY(B242,1)=7,WEEKDAY(B242,1)=1)</formula>
    </cfRule>
  </conditionalFormatting>
  <conditionalFormatting sqref="G245:H245">
    <cfRule type="expression" dxfId="80" priority="255">
      <formula>OR(WEEKDAY(B245,1)=7,WEEKDAY(B245,1)=1)</formula>
    </cfRule>
  </conditionalFormatting>
  <conditionalFormatting sqref="G246:H246">
    <cfRule type="expression" dxfId="79" priority="274">
      <formula>OR(WEEKDAY(B246,1)=7,WEEKDAY(B246,1)=1)</formula>
    </cfRule>
  </conditionalFormatting>
  <conditionalFormatting sqref="G247:H247">
    <cfRule type="expression" dxfId="78" priority="249">
      <formula>OR(WEEKDAY(B247,1)=7,WEEKDAY(B247,1)=1)</formula>
    </cfRule>
  </conditionalFormatting>
  <conditionalFormatting sqref="G248:H248">
    <cfRule type="expression" dxfId="77" priority="297">
      <formula>OR(WEEKDAY(B248,1)=7,WEEKDAY(B248,1)=1)</formula>
    </cfRule>
  </conditionalFormatting>
  <conditionalFormatting sqref="G250:H250">
    <cfRule type="expression" dxfId="76" priority="245">
      <formula>OR(WEEKDAY(B250,1)=7,WEEKDAY(B250,1)=1)</formula>
    </cfRule>
  </conditionalFormatting>
  <conditionalFormatting sqref="G251:H251">
    <cfRule type="expression" dxfId="75" priority="241">
      <formula>OR(WEEKDAY(B251,1)=7,WEEKDAY(B251,1)=1)</formula>
    </cfRule>
  </conditionalFormatting>
  <conditionalFormatting sqref="G252:H252">
    <cfRule type="expression" dxfId="74" priority="282">
      <formula>OR(WEEKDAY(B252,1)=7,WEEKDAY(B252,1)=1)</formula>
    </cfRule>
  </conditionalFormatting>
  <conditionalFormatting sqref="G256:H257">
    <cfRule type="expression" dxfId="73" priority="212">
      <formula>OR(WEEKDAY(B256,1)=7,WEEKDAY(B256,1)=1)</formula>
    </cfRule>
  </conditionalFormatting>
  <conditionalFormatting sqref="G258:H259">
    <cfRule type="expression" dxfId="72" priority="233">
      <formula>OR(WEEKDAY(B258,1)=7,WEEKDAY(B258,1)=1)</formula>
    </cfRule>
  </conditionalFormatting>
  <conditionalFormatting sqref="G260:H260">
    <cfRule type="expression" dxfId="71" priority="208">
      <formula>OR(WEEKDAY(B260,1)=7,WEEKDAY(B260,1)=1)</formula>
    </cfRule>
  </conditionalFormatting>
  <conditionalFormatting sqref="G261:H261">
    <cfRule type="expression" dxfId="70" priority="203">
      <formula>OR(WEEKDAY(B261,1)=7,WEEKDAY(B261,1)=1)</formula>
    </cfRule>
  </conditionalFormatting>
  <conditionalFormatting sqref="G262:H262">
    <cfRule type="expression" dxfId="69" priority="199">
      <formula>OR(WEEKDAY(B262,1)=7,WEEKDAY(B262,1)=1)</formula>
    </cfRule>
  </conditionalFormatting>
  <conditionalFormatting sqref="G263:H263">
    <cfRule type="expression" dxfId="68" priority="194">
      <formula>OR(WEEKDAY(B263,1)=7,WEEKDAY(B263,1)=1)</formula>
    </cfRule>
  </conditionalFormatting>
  <conditionalFormatting sqref="G264:H264">
    <cfRule type="expression" dxfId="67" priority="227">
      <formula>OR(WEEKDAY(B264,1)=7,WEEKDAY(B264,1)=1)</formula>
    </cfRule>
  </conditionalFormatting>
  <conditionalFormatting sqref="G265:H266">
    <cfRule type="expression" dxfId="66" priority="187">
      <formula>OR(WEEKDAY(B265,1)=7,WEEKDAY(B265,1)=1)</formula>
    </cfRule>
  </conditionalFormatting>
  <conditionalFormatting sqref="G267:H267">
    <cfRule type="expression" dxfId="65" priority="183">
      <formula>OR(WEEKDAY(B267,1)=7,WEEKDAY(B267,1)=1)</formula>
    </cfRule>
  </conditionalFormatting>
  <conditionalFormatting sqref="G270:H270">
    <cfRule type="expression" dxfId="64" priority="173">
      <formula>OR(WEEKDAY(B270,1)=7,WEEKDAY(B270,1)=1)</formula>
    </cfRule>
  </conditionalFormatting>
  <conditionalFormatting sqref="G271:H272">
    <cfRule type="expression" dxfId="63" priority="177">
      <formula>OR(WEEKDAY(B271,1)=7,WEEKDAY(B271,1)=1)</formula>
    </cfRule>
  </conditionalFormatting>
  <conditionalFormatting sqref="G273:H274">
    <cfRule type="expression" dxfId="62" priority="166">
      <formula>OR(WEEKDAY(B273,1)=7,WEEKDAY(B273,1)=1)</formula>
    </cfRule>
  </conditionalFormatting>
  <conditionalFormatting sqref="G275:H275">
    <cfRule type="expression" dxfId="61" priority="159">
      <formula>OR(WEEKDAY(B275,1)=7,WEEKDAY(B275,1)=1)</formula>
    </cfRule>
  </conditionalFormatting>
  <conditionalFormatting sqref="G276:H276">
    <cfRule type="expression" dxfId="60" priority="154">
      <formula>OR(WEEKDAY(B276,1)=7,WEEKDAY(B276,1)=1)</formula>
    </cfRule>
  </conditionalFormatting>
  <conditionalFormatting sqref="G280:H280">
    <cfRule type="expression" dxfId="59" priority="143">
      <formula>OR(WEEKDAY(B280,1)=7,WEEKDAY(B280,1)=1)</formula>
    </cfRule>
  </conditionalFormatting>
  <conditionalFormatting sqref="G281:H284">
    <cfRule type="expression" dxfId="58" priority="115">
      <formula>OR(WEEKDAY(B281,1)=7,WEEKDAY(B281,1)=1)</formula>
    </cfRule>
  </conditionalFormatting>
  <conditionalFormatting sqref="G285:H285">
    <cfRule type="expression" dxfId="57" priority="132">
      <formula>OR(WEEKDAY(B285,1)=7,WEEKDAY(B285,1)=1)</formula>
    </cfRule>
  </conditionalFormatting>
  <conditionalFormatting sqref="G286:H286">
    <cfRule type="expression" dxfId="56" priority="123">
      <formula>OR(WEEKDAY(B286,1)=7,WEEKDAY(B286,1)=1)</formula>
    </cfRule>
  </conditionalFormatting>
  <conditionalFormatting sqref="G289:H292">
    <cfRule type="expression" dxfId="55" priority="101">
      <formula>OR(WEEKDAY(B289,1)=7,WEEKDAY(B289,1)=1)</formula>
    </cfRule>
  </conditionalFormatting>
  <conditionalFormatting sqref="G293:H293">
    <cfRule type="expression" dxfId="54" priority="98">
      <formula>OR(WEEKDAY(B293,1)=7,WEEKDAY(B293,1)=1)</formula>
    </cfRule>
  </conditionalFormatting>
  <conditionalFormatting sqref="G294:H294">
    <cfRule type="expression" dxfId="53" priority="91">
      <formula>OR(WEEKDAY(B294,1)=7,WEEKDAY(B294,1)=1)</formula>
    </cfRule>
  </conditionalFormatting>
  <conditionalFormatting sqref="G295:H297">
    <cfRule type="expression" dxfId="52" priority="113">
      <formula>OR(WEEKDAY(B295,1)=7,WEEKDAY(B295,1)=1)</formula>
    </cfRule>
  </conditionalFormatting>
  <conditionalFormatting sqref="G300:H301">
    <cfRule type="expression" dxfId="51" priority="83">
      <formula>OR(WEEKDAY(B300,1)=7,WEEKDAY(B300,1)=1)</formula>
    </cfRule>
  </conditionalFormatting>
  <conditionalFormatting sqref="G302:H302">
    <cfRule type="expression" dxfId="50" priority="80">
      <formula>OR(WEEKDAY(B302,1)=7,WEEKDAY(B302,1)=1)</formula>
    </cfRule>
  </conditionalFormatting>
  <conditionalFormatting sqref="G304:H307">
    <cfRule type="expression" dxfId="49" priority="76">
      <formula>OR(WEEKDAY(B304,1)=7,WEEKDAY(B304,1)=1)</formula>
    </cfRule>
  </conditionalFormatting>
  <conditionalFormatting sqref="G308:H308">
    <cfRule type="expression" dxfId="48" priority="70">
      <formula>OR(WEEKDAY(B308,1)=7,WEEKDAY(B308,1)=1)</formula>
    </cfRule>
  </conditionalFormatting>
  <conditionalFormatting sqref="G309:H309">
    <cfRule type="expression" dxfId="47" priority="61">
      <formula>OR(WEEKDAY(B309,1)=7,WEEKDAY(B309,1)=1)</formula>
    </cfRule>
  </conditionalFormatting>
  <conditionalFormatting sqref="G312:H312">
    <cfRule type="expression" dxfId="46" priority="55">
      <formula>OR(WEEKDAY(B312,1)=7,WEEKDAY(B312,1)=1)</formula>
    </cfRule>
  </conditionalFormatting>
  <conditionalFormatting sqref="G313:H317">
    <cfRule type="expression" dxfId="45" priority="45">
      <formula>OR(WEEKDAY(B313,1)=7,WEEKDAY(B313,1)=1)</formula>
    </cfRule>
  </conditionalFormatting>
  <conditionalFormatting sqref="G320:H324">
    <cfRule type="expression" dxfId="44" priority="41">
      <formula>OR(WEEKDAY(B320,1)=7,WEEKDAY(B320,1)=1)</formula>
    </cfRule>
  </conditionalFormatting>
  <conditionalFormatting sqref="G327:H327">
    <cfRule type="expression" dxfId="43" priority="38">
      <formula>OR(WEEKDAY(B327,1)=7,WEEKDAY(B327,1)=1)</formula>
    </cfRule>
  </conditionalFormatting>
  <conditionalFormatting sqref="G332:H332">
    <cfRule type="expression" dxfId="42" priority="33">
      <formula>OR($G332="48VACACI",$G332="49ENFERM")</formula>
    </cfRule>
    <cfRule type="expression" dxfId="41" priority="34">
      <formula>OR(WEEKDAY(B332,1)=7,WEEKDAY(B332,1)=1)</formula>
    </cfRule>
  </conditionalFormatting>
  <conditionalFormatting sqref="G338:H349">
    <cfRule type="expression" dxfId="40" priority="31">
      <formula>OR(WEEKDAY(B338,1)=7,WEEKDAY(B338,1)=1)</formula>
    </cfRule>
  </conditionalFormatting>
  <conditionalFormatting sqref="G352:H354">
    <cfRule type="expression" dxfId="39" priority="26">
      <formula>OR(WEEKDAY(B352,1)=7,WEEKDAY(B352,1)=1)</formula>
    </cfRule>
  </conditionalFormatting>
  <conditionalFormatting sqref="G356:H357">
    <cfRule type="expression" dxfId="38" priority="22">
      <formula>OR(WEEKDAY(B356,1)=7,WEEKDAY(B356,1)=1)</formula>
    </cfRule>
  </conditionalFormatting>
  <conditionalFormatting sqref="G358:H359">
    <cfRule type="expression" dxfId="37" priority="18">
      <formula>OR(WEEKDAY(B358,1)=7,WEEKDAY(B358,1)=1)</formula>
    </cfRule>
  </conditionalFormatting>
  <conditionalFormatting sqref="G360:H360">
    <cfRule type="expression" dxfId="36" priority="8">
      <formula>OR($G360="48VACACI",$G360="49ENFERM")</formula>
    </cfRule>
    <cfRule type="expression" dxfId="35" priority="9">
      <formula>OR(WEEKDAY(B360,1)=7,WEEKDAY(B360,1)=1)</formula>
    </cfRule>
  </conditionalFormatting>
  <conditionalFormatting sqref="G361:H362">
    <cfRule type="expression" dxfId="34" priority="13">
      <formula>OR(WEEKDAY(B361,1)=7,WEEKDAY(B361,1)=1)</formula>
    </cfRule>
  </conditionalFormatting>
  <conditionalFormatting sqref="G365:H367">
    <cfRule type="expression" dxfId="33" priority="6">
      <formula>OR(WEEKDAY(B365,1)=7,WEEKDAY(B365,1)=1)</formula>
    </cfRule>
  </conditionalFormatting>
  <conditionalFormatting sqref="G368:H369">
    <cfRule type="expression" dxfId="32" priority="1">
      <formula>OR($G368="48VACACI",$G368="49ENFERM")</formula>
    </cfRule>
    <cfRule type="expression" dxfId="31" priority="2">
      <formula>OR(WEEKDAY(B368,1)=7,WEEKDAY(B368,1)=1)</formula>
    </cfRule>
  </conditionalFormatting>
  <conditionalFormatting sqref="H125">
    <cfRule type="expression" dxfId="30" priority="566">
      <formula>OR($G125="48VACACI",$G125="49ENFERM")</formula>
    </cfRule>
    <cfRule type="expression" dxfId="29" priority="567">
      <formula>OR(WEEKDAY(C125,1)=7,WEEKDAY(C125,1)=1)</formula>
    </cfRule>
  </conditionalFormatting>
  <conditionalFormatting sqref="H127">
    <cfRule type="expression" dxfId="28" priority="563">
      <formula>OR($G127="48VACACI",$G127="49ENFERM")</formula>
    </cfRule>
    <cfRule type="expression" dxfId="27" priority="564">
      <formula>OR(WEEKDAY(C127,1)=7,WEEKDAY(C127,1)=1)</formula>
    </cfRule>
  </conditionalFormatting>
  <conditionalFormatting sqref="H146">
    <cfRule type="expression" dxfId="26" priority="544">
      <formula>OR($G146="48VACACI",$G146="49ENFERM")</formula>
    </cfRule>
    <cfRule type="expression" dxfId="25" priority="545">
      <formula>OR(WEEKDAY(C146,1)=7,WEEKDAY(C146,1)=1)</formula>
    </cfRule>
  </conditionalFormatting>
  <conditionalFormatting sqref="H156:H157">
    <cfRule type="expression" dxfId="24" priority="531">
      <formula>OR($G156="48VACACI",$G156="49ENFERM")</formula>
    </cfRule>
    <cfRule type="expression" dxfId="23" priority="532">
      <formula>OR(WEEKDAY(C156,1)=7,WEEKDAY(C156,1)=1)</formula>
    </cfRule>
  </conditionalFormatting>
  <conditionalFormatting sqref="H170">
    <cfRule type="expression" dxfId="22" priority="471">
      <formula>OR($G170="48VACACI",$G170="49ENFERM")</formula>
    </cfRule>
    <cfRule type="expression" dxfId="21" priority="472">
      <formula>OR(WEEKDAY(C170,1)=7,WEEKDAY(C170,1)=1)</formula>
    </cfRule>
  </conditionalFormatting>
  <conditionalFormatting sqref="H177">
    <cfRule type="expression" dxfId="20" priority="441">
      <formula>OR($G177="48VACACI",$G177="49ENFERM")</formula>
    </cfRule>
    <cfRule type="expression" dxfId="19" priority="442">
      <formula>OR(WEEKDAY(C177,1)=7,WEEKDAY(C177,1)=1)</formula>
    </cfRule>
  </conditionalFormatting>
  <conditionalFormatting sqref="H179">
    <cfRule type="expression" dxfId="18" priority="439">
      <formula>OR($G179="48VACACI",$G179="49ENFERM")</formula>
    </cfRule>
    <cfRule type="expression" dxfId="17" priority="440">
      <formula>OR(WEEKDAY(C179,1)=7,WEEKDAY(C179,1)=1)</formula>
    </cfRule>
  </conditionalFormatting>
  <conditionalFormatting sqref="H183">
    <cfRule type="expression" dxfId="16" priority="401">
      <formula>OR($G183="48VACACI",$G183="49ENFERM")</formula>
    </cfRule>
    <cfRule type="expression" dxfId="15" priority="402">
      <formula>OR(WEEKDAY(C183,1)=7,WEEKDAY(C183,1)=1)</formula>
    </cfRule>
  </conditionalFormatting>
  <conditionalFormatting sqref="H185:H187">
    <cfRule type="expression" dxfId="14" priority="379">
      <formula>OR($G185="48VACACI",$G185="49ENFERM")</formula>
    </cfRule>
    <cfRule type="expression" dxfId="13" priority="380">
      <formula>OR(WEEKDAY(C185,1)=7,WEEKDAY(C185,1)=1)</formula>
    </cfRule>
  </conditionalFormatting>
  <conditionalFormatting sqref="H189">
    <cfRule type="expression" dxfId="12" priority="377">
      <formula>OR($G189="48VACACI",$G189="49ENFERM")</formula>
    </cfRule>
    <cfRule type="expression" dxfId="11" priority="378">
      <formula>OR(WEEKDAY(C189,1)=7,WEEKDAY(C189,1)=1)</formula>
    </cfRule>
  </conditionalFormatting>
  <conditionalFormatting sqref="H199">
    <cfRule type="expression" dxfId="10" priority="344">
      <formula>OR($G199="48VACACI",$G199="49ENFERM")</formula>
    </cfRule>
    <cfRule type="expression" dxfId="9" priority="345">
      <formula>OR(WEEKDAY(C199,1)=7,WEEKDAY(C199,1)=1)</formula>
    </cfRule>
  </conditionalFormatting>
  <conditionalFormatting sqref="H202">
    <cfRule type="expression" dxfId="8" priority="335">
      <formula>OR($G202="48VACACI",$G202="49ENFERM")</formula>
    </cfRule>
    <cfRule type="expression" dxfId="7" priority="336">
      <formula>OR(WEEKDAY(C202,1)=7,WEEKDAY(C202,1)=1)</formula>
    </cfRule>
  </conditionalFormatting>
  <conditionalFormatting sqref="H212:H213">
    <cfRule type="expression" dxfId="6" priority="328">
      <formula>OR($G212="48VACACI",$G212="49ENFERM")</formula>
    </cfRule>
    <cfRule type="expression" dxfId="5" priority="329">
      <formula>OR(WEEKDAY(C212,1)=7,WEEKDAY(C212,1)=1)</formula>
    </cfRule>
  </conditionalFormatting>
  <conditionalFormatting sqref="H244">
    <cfRule type="expression" dxfId="4" priority="258">
      <formula>OR($G244="48VACACI",$G244="49ENFERM")</formula>
    </cfRule>
    <cfRule type="expression" dxfId="3" priority="259">
      <formula>OR(WEEKDAY(C244,1)=7,WEEKDAY(C244,1)=1)</formula>
    </cfRule>
  </conditionalFormatting>
  <conditionalFormatting sqref="H255">
    <cfRule type="expression" dxfId="2" priority="216">
      <formula>OR($G255="48VACACI",$G255="49ENFERM")</formula>
    </cfRule>
    <cfRule type="expression" dxfId="1" priority="217">
      <formula>OR(WEEKDAY(C255,1)=7,WEEKDAY(C255,1)=1)</formula>
    </cfRule>
  </conditionalFormatting>
  <conditionalFormatting sqref="H303">
    <cfRule type="expression" dxfId="0" priority="67">
      <formula>OR(WEEKDAY(C303,1)=7,WEEKDAY(C303,1)=1)</formula>
    </cfRule>
  </conditionalFormatting>
  <pageMargins left="0.23622047244094491" right="0.23622047244094491" top="0.74803149606299213" bottom="0.74803149606299213" header="0.31496062992125984" footer="0.31496062992125984"/>
  <pageSetup paperSize="9" scale="59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</vt:lpstr>
      <vt:lpstr>'2026'!Área_de_impresión</vt:lpstr>
    </vt:vector>
  </TitlesOfParts>
  <Company>ACCIONA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Cangas, Alberto</dc:creator>
  <cp:lastModifiedBy>Justo Cangas, Alberto</cp:lastModifiedBy>
  <dcterms:created xsi:type="dcterms:W3CDTF">2026-08-19T08:37:30Z</dcterms:created>
  <dcterms:modified xsi:type="dcterms:W3CDTF">2026-08-19T08:38:23Z</dcterms:modified>
</cp:coreProperties>
</file>