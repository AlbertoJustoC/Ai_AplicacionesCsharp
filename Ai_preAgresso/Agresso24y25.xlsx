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justo\source\repos\Ai_AplicacionesCsharp\Ai_preAgresso\"/>
    </mc:Choice>
  </mc:AlternateContent>
  <xr:revisionPtr revIDLastSave="0" documentId="8_{4E9006AA-8BC5-48C2-82E1-7EC8619313A4}" xr6:coauthVersionLast="47" xr6:coauthVersionMax="47" xr10:uidLastSave="{00000000-0000-0000-0000-000000000000}"/>
  <bookViews>
    <workbookView xWindow="7155" yWindow="1350" windowWidth="38700" windowHeight="15345" xr2:uid="{61514022-50B2-4B19-B306-98F437F76C06}"/>
  </bookViews>
  <sheets>
    <sheet name="2024" sheetId="1" r:id="rId1"/>
    <sheet name="2025" sheetId="2" r:id="rId2"/>
  </sheets>
  <definedNames>
    <definedName name="_xlnm._FilterDatabase" localSheetId="0" hidden="1">'2024'!$A$3:$H$514</definedName>
    <definedName name="_xlnm._FilterDatabase" localSheetId="1" hidden="1">'2025'!$A$3:$H$510</definedName>
    <definedName name="_xlnm.Print_Area" localSheetId="1">'2025'!$A$1:$J$310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10" i="2" l="1"/>
  <c r="J505" i="2"/>
  <c r="J498" i="2"/>
  <c r="J488" i="2"/>
  <c r="J479" i="2"/>
  <c r="J468" i="2"/>
  <c r="J460" i="2"/>
  <c r="J450" i="2"/>
  <c r="J439" i="2"/>
  <c r="J430" i="2"/>
  <c r="J421" i="2"/>
  <c r="J410" i="2"/>
  <c r="J401" i="2"/>
  <c r="J390" i="2"/>
  <c r="J381" i="2"/>
  <c r="J371" i="2"/>
  <c r="J360" i="2"/>
  <c r="K360" i="2" s="1"/>
  <c r="J353" i="2"/>
  <c r="J343" i="2"/>
  <c r="J335" i="2"/>
  <c r="J325" i="2"/>
  <c r="J318" i="2"/>
  <c r="J308" i="2"/>
  <c r="J299" i="2"/>
  <c r="J292" i="2"/>
  <c r="J285" i="2"/>
  <c r="J277" i="2"/>
  <c r="J269" i="2"/>
  <c r="J262" i="2"/>
  <c r="J255" i="2"/>
  <c r="J247" i="2"/>
  <c r="J240" i="2"/>
  <c r="J233" i="2"/>
  <c r="J224" i="2"/>
  <c r="J215" i="2"/>
  <c r="J204" i="2"/>
  <c r="J194" i="2"/>
  <c r="J184" i="2"/>
  <c r="J171" i="2"/>
  <c r="J155" i="2"/>
  <c r="J143" i="2"/>
  <c r="J134" i="2"/>
  <c r="J127" i="2"/>
  <c r="J115" i="2"/>
  <c r="J99" i="2"/>
  <c r="J89" i="2"/>
  <c r="B86" i="2"/>
  <c r="C86" i="2" s="1"/>
  <c r="A86" i="2"/>
  <c r="D86" i="2" s="1"/>
  <c r="J75" i="2"/>
  <c r="D70" i="2"/>
  <c r="C70" i="2"/>
  <c r="B70" i="2"/>
  <c r="A70" i="2" s="1"/>
  <c r="J62" i="2"/>
  <c r="J50" i="2"/>
  <c r="J36" i="2"/>
  <c r="J3" i="2" s="1"/>
  <c r="J22" i="2"/>
  <c r="J13" i="2"/>
  <c r="J6" i="2"/>
  <c r="B5" i="2"/>
  <c r="D4" i="2"/>
  <c r="F1" i="2"/>
  <c r="J503" i="1"/>
  <c r="J493" i="1"/>
  <c r="J483" i="1"/>
  <c r="J471" i="1"/>
  <c r="J461" i="1"/>
  <c r="J452" i="1"/>
  <c r="J443" i="1"/>
  <c r="J432" i="1"/>
  <c r="J420" i="1"/>
  <c r="J408" i="1"/>
  <c r="J396" i="1"/>
  <c r="J384" i="1"/>
  <c r="J371" i="1"/>
  <c r="J357" i="1"/>
  <c r="J345" i="1"/>
  <c r="J337" i="1"/>
  <c r="J330" i="1"/>
  <c r="J314" i="1"/>
  <c r="J307" i="1"/>
  <c r="J299" i="1"/>
  <c r="J277" i="1"/>
  <c r="J270" i="1"/>
  <c r="J263" i="1"/>
  <c r="J255" i="1"/>
  <c r="J243" i="1"/>
  <c r="J233" i="1"/>
  <c r="J224" i="1"/>
  <c r="J216" i="1"/>
  <c r="J205" i="1"/>
  <c r="J195" i="1"/>
  <c r="J185" i="1"/>
  <c r="J177" i="1"/>
  <c r="J167" i="1"/>
  <c r="J160" i="1"/>
  <c r="J150" i="1"/>
  <c r="J139" i="1"/>
  <c r="J132" i="1"/>
  <c r="J122" i="1"/>
  <c r="J112" i="1"/>
  <c r="J100" i="1"/>
  <c r="J74" i="1"/>
  <c r="J62" i="1"/>
  <c r="J50" i="1"/>
  <c r="J38" i="1"/>
  <c r="J28" i="1"/>
  <c r="J18" i="1"/>
  <c r="B5" i="1"/>
  <c r="A5" i="1"/>
  <c r="F1" i="1"/>
  <c r="B6" i="1" l="1"/>
  <c r="D5" i="1"/>
  <c r="C5" i="1"/>
  <c r="J3" i="1"/>
  <c r="B6" i="2"/>
  <c r="C5" i="2"/>
  <c r="A5" i="2"/>
  <c r="D5" i="2" s="1"/>
  <c r="C6" i="2" l="1"/>
  <c r="A6" i="2"/>
  <c r="D6" i="2" s="1"/>
  <c r="B7" i="2"/>
  <c r="B7" i="1"/>
  <c r="C6" i="1"/>
  <c r="A6" i="1"/>
  <c r="D6" i="1" s="1"/>
  <c r="C7" i="1" l="1"/>
  <c r="A7" i="1"/>
  <c r="D7" i="1" s="1"/>
  <c r="B8" i="1"/>
  <c r="C7" i="2"/>
  <c r="A7" i="2"/>
  <c r="D7" i="2" s="1"/>
  <c r="B8" i="2"/>
  <c r="B9" i="2" l="1"/>
  <c r="C8" i="2"/>
  <c r="A8" i="2"/>
  <c r="D8" i="2" s="1"/>
  <c r="A8" i="1"/>
  <c r="D8" i="1" s="1"/>
  <c r="B9" i="1"/>
  <c r="C8" i="1"/>
  <c r="B10" i="1" l="1"/>
  <c r="C9" i="1"/>
  <c r="A9" i="1"/>
  <c r="D9" i="1" s="1"/>
  <c r="B10" i="2"/>
  <c r="C9" i="2"/>
  <c r="A9" i="2"/>
  <c r="D9" i="2" s="1"/>
  <c r="C10" i="2" l="1"/>
  <c r="A10" i="2"/>
  <c r="D10" i="2" s="1"/>
  <c r="B11" i="2"/>
  <c r="B11" i="1"/>
  <c r="C10" i="1"/>
  <c r="A10" i="1"/>
  <c r="D10" i="1" s="1"/>
  <c r="C11" i="1" l="1"/>
  <c r="A11" i="1"/>
  <c r="D11" i="1" s="1"/>
  <c r="B12" i="1"/>
  <c r="C11" i="2"/>
  <c r="B12" i="2"/>
  <c r="A11" i="2"/>
  <c r="D11" i="2" s="1"/>
  <c r="B13" i="2" l="1"/>
  <c r="C12" i="2"/>
  <c r="A12" i="2"/>
  <c r="D12" i="2" s="1"/>
  <c r="B15" i="1"/>
  <c r="B14" i="1"/>
  <c r="A12" i="1"/>
  <c r="D12" i="1" s="1"/>
  <c r="B13" i="1"/>
  <c r="C12" i="1"/>
  <c r="C13" i="1" l="1"/>
  <c r="B16" i="1"/>
  <c r="A13" i="1"/>
  <c r="D13" i="1" s="1"/>
  <c r="C14" i="1"/>
  <c r="A14" i="1"/>
  <c r="D14" i="1" s="1"/>
  <c r="C15" i="1"/>
  <c r="A15" i="1"/>
  <c r="D15" i="1" s="1"/>
  <c r="B14" i="2"/>
  <c r="C13" i="2"/>
  <c r="A13" i="2"/>
  <c r="D13" i="2" s="1"/>
  <c r="C14" i="2" l="1"/>
  <c r="A14" i="2"/>
  <c r="D14" i="2" s="1"/>
  <c r="B15" i="2"/>
  <c r="B18" i="1"/>
  <c r="A16" i="1"/>
  <c r="D16" i="1" s="1"/>
  <c r="C16" i="1"/>
  <c r="B17" i="1"/>
  <c r="B19" i="1" l="1"/>
  <c r="C17" i="1"/>
  <c r="A17" i="1"/>
  <c r="D17" i="1" s="1"/>
  <c r="C18" i="1"/>
  <c r="A18" i="1"/>
  <c r="D18" i="1" s="1"/>
  <c r="C15" i="2"/>
  <c r="A15" i="2"/>
  <c r="D15" i="2" s="1"/>
  <c r="B16" i="2"/>
  <c r="B17" i="2" l="1"/>
  <c r="C16" i="2"/>
  <c r="A16" i="2"/>
  <c r="D16" i="2" s="1"/>
  <c r="A19" i="1"/>
  <c r="D19" i="1" s="1"/>
  <c r="C19" i="1"/>
  <c r="B20" i="1"/>
  <c r="B21" i="1" l="1"/>
  <c r="C20" i="1"/>
  <c r="A20" i="1"/>
  <c r="D20" i="1" s="1"/>
  <c r="B19" i="2"/>
  <c r="C17" i="2"/>
  <c r="A17" i="2"/>
  <c r="D17" i="2" s="1"/>
  <c r="C19" i="2" l="1"/>
  <c r="A19" i="2"/>
  <c r="D19" i="2" s="1"/>
  <c r="B20" i="2"/>
  <c r="B23" i="1"/>
  <c r="B22" i="1"/>
  <c r="C21" i="1"/>
  <c r="B24" i="1"/>
  <c r="A21" i="1"/>
  <c r="D21" i="1" s="1"/>
  <c r="C24" i="1" l="1"/>
  <c r="A24" i="1"/>
  <c r="D24" i="1" s="1"/>
  <c r="B25" i="1"/>
  <c r="C22" i="1"/>
  <c r="A22" i="1"/>
  <c r="D22" i="1" s="1"/>
  <c r="A23" i="1"/>
  <c r="D23" i="1" s="1"/>
  <c r="C23" i="1"/>
  <c r="C20" i="2"/>
  <c r="B22" i="2"/>
  <c r="A20" i="2"/>
  <c r="D20" i="2" s="1"/>
  <c r="B23" i="2" l="1"/>
  <c r="C22" i="2"/>
  <c r="A22" i="2"/>
  <c r="D22" i="2" s="1"/>
  <c r="B27" i="1"/>
  <c r="B26" i="1"/>
  <c r="C25" i="1"/>
  <c r="A25" i="1"/>
  <c r="D25" i="1" s="1"/>
  <c r="C26" i="1" l="1"/>
  <c r="A26" i="1"/>
  <c r="D26" i="1" s="1"/>
  <c r="B28" i="1"/>
  <c r="A27" i="1"/>
  <c r="D27" i="1" s="1"/>
  <c r="C27" i="1"/>
  <c r="B24" i="2"/>
  <c r="C23" i="2"/>
  <c r="A23" i="2"/>
  <c r="D23" i="2" s="1"/>
  <c r="A24" i="2" l="1"/>
  <c r="D24" i="2" s="1"/>
  <c r="B25" i="2"/>
  <c r="C24" i="2"/>
  <c r="B29" i="1"/>
  <c r="C28" i="1"/>
  <c r="A28" i="1"/>
  <c r="D28" i="1" s="1"/>
  <c r="A29" i="1" l="1"/>
  <c r="D29" i="1" s="1"/>
  <c r="B30" i="1"/>
  <c r="C29" i="1"/>
  <c r="B27" i="2"/>
  <c r="A25" i="2"/>
  <c r="D25" i="2" s="1"/>
  <c r="C25" i="2"/>
  <c r="C30" i="1" l="1"/>
  <c r="A30" i="1"/>
  <c r="D30" i="1" s="1"/>
  <c r="B31" i="1"/>
  <c r="B32" i="2"/>
  <c r="C27" i="2"/>
  <c r="A27" i="2"/>
  <c r="D27" i="2" s="1"/>
  <c r="B33" i="2" l="1"/>
  <c r="C32" i="2"/>
  <c r="A32" i="2"/>
  <c r="D32" i="2" s="1"/>
  <c r="A31" i="1"/>
  <c r="D31" i="1" s="1"/>
  <c r="B33" i="1"/>
  <c r="B32" i="1"/>
  <c r="C31" i="1"/>
  <c r="B34" i="1" l="1"/>
  <c r="B35" i="1"/>
  <c r="C32" i="1"/>
  <c r="A32" i="1"/>
  <c r="D32" i="1" s="1"/>
  <c r="C33" i="1"/>
  <c r="A33" i="1"/>
  <c r="D33" i="1" s="1"/>
  <c r="A33" i="2"/>
  <c r="D33" i="2" s="1"/>
  <c r="B35" i="2"/>
  <c r="C33" i="2"/>
  <c r="A35" i="2" l="1"/>
  <c r="D35" i="2" s="1"/>
  <c r="B37" i="2"/>
  <c r="C35" i="2"/>
  <c r="A35" i="1"/>
  <c r="D35" i="1" s="1"/>
  <c r="C35" i="1"/>
  <c r="C34" i="1"/>
  <c r="A34" i="1"/>
  <c r="D34" i="1" s="1"/>
  <c r="B37" i="1"/>
  <c r="B36" i="1"/>
  <c r="C37" i="1" l="1"/>
  <c r="A37" i="1"/>
  <c r="D37" i="1" s="1"/>
  <c r="B38" i="1"/>
  <c r="A36" i="1"/>
  <c r="D36" i="1" s="1"/>
  <c r="C36" i="1"/>
  <c r="B38" i="2"/>
  <c r="C37" i="2"/>
  <c r="A37" i="2"/>
  <c r="D37" i="2" s="1"/>
  <c r="C38" i="2" l="1"/>
  <c r="A38" i="2"/>
  <c r="D38" i="2" s="1"/>
  <c r="B39" i="2"/>
  <c r="C38" i="1"/>
  <c r="A38" i="1"/>
  <c r="D38" i="1" s="1"/>
  <c r="B39" i="1"/>
  <c r="C39" i="1" l="1"/>
  <c r="A39" i="1"/>
  <c r="D39" i="1" s="1"/>
  <c r="B40" i="1"/>
  <c r="A39" i="2"/>
  <c r="D39" i="2" s="1"/>
  <c r="B42" i="2"/>
  <c r="C39" i="2"/>
  <c r="A42" i="2" l="1"/>
  <c r="D42" i="2" s="1"/>
  <c r="B44" i="2"/>
  <c r="C42" i="2"/>
  <c r="B41" i="1"/>
  <c r="A40" i="1"/>
  <c r="D40" i="1" s="1"/>
  <c r="C40" i="1"/>
  <c r="B46" i="2" l="1"/>
  <c r="C44" i="2"/>
  <c r="A44" i="2"/>
  <c r="D44" i="2" s="1"/>
  <c r="B42" i="1"/>
  <c r="C41" i="1"/>
  <c r="A41" i="1"/>
  <c r="D41" i="1" s="1"/>
  <c r="B43" i="1"/>
  <c r="C43" i="1" l="1"/>
  <c r="A43" i="1"/>
  <c r="D43" i="1" s="1"/>
  <c r="C42" i="1"/>
  <c r="B46" i="1"/>
  <c r="A42" i="1"/>
  <c r="D42" i="1" s="1"/>
  <c r="B45" i="1"/>
  <c r="B44" i="1"/>
  <c r="C46" i="2"/>
  <c r="B49" i="2"/>
  <c r="A46" i="2"/>
  <c r="D46" i="2" s="1"/>
  <c r="C49" i="2" l="1"/>
  <c r="A49" i="2"/>
  <c r="D49" i="2" s="1"/>
  <c r="B51" i="2"/>
  <c r="B49" i="1"/>
  <c r="A44" i="1"/>
  <c r="D44" i="1" s="1"/>
  <c r="B47" i="1"/>
  <c r="B48" i="1"/>
  <c r="C44" i="1"/>
  <c r="C45" i="1"/>
  <c r="A45" i="1"/>
  <c r="D45" i="1" s="1"/>
  <c r="C46" i="1"/>
  <c r="A46" i="1"/>
  <c r="D46" i="1" s="1"/>
  <c r="B52" i="2" l="1"/>
  <c r="A51" i="2"/>
  <c r="D51" i="2" s="1"/>
  <c r="C51" i="2"/>
  <c r="A48" i="1"/>
  <c r="D48" i="1" s="1"/>
  <c r="C48" i="1"/>
  <c r="B50" i="1"/>
  <c r="C47" i="1"/>
  <c r="A47" i="1"/>
  <c r="D47" i="1" s="1"/>
  <c r="C49" i="1"/>
  <c r="A49" i="1"/>
  <c r="D49" i="1" s="1"/>
  <c r="C50" i="1" l="1"/>
  <c r="A50" i="1"/>
  <c r="D50" i="1" s="1"/>
  <c r="B51" i="1"/>
  <c r="B53" i="2"/>
  <c r="A52" i="2"/>
  <c r="D52" i="2" s="1"/>
  <c r="C52" i="2"/>
  <c r="A51" i="1" l="1"/>
  <c r="D51" i="1" s="1"/>
  <c r="B52" i="1"/>
  <c r="C51" i="1"/>
  <c r="C53" i="2"/>
  <c r="A53" i="2"/>
  <c r="D53" i="2" s="1"/>
  <c r="B54" i="2"/>
  <c r="A54" i="2" l="1"/>
  <c r="D54" i="2" s="1"/>
  <c r="B56" i="2"/>
  <c r="C54" i="2"/>
  <c r="B54" i="1"/>
  <c r="B53" i="1"/>
  <c r="C52" i="1"/>
  <c r="A52" i="1"/>
  <c r="D52" i="1" s="1"/>
  <c r="C53" i="1" l="1"/>
  <c r="B57" i="1"/>
  <c r="A53" i="1"/>
  <c r="D53" i="1" s="1"/>
  <c r="B55" i="1"/>
  <c r="B56" i="1"/>
  <c r="C56" i="2"/>
  <c r="A56" i="2"/>
  <c r="D56" i="2" s="1"/>
  <c r="B58" i="2"/>
  <c r="C54" i="1"/>
  <c r="A54" i="1"/>
  <c r="D54" i="1" s="1"/>
  <c r="B61" i="2" l="1"/>
  <c r="C58" i="2"/>
  <c r="A58" i="2"/>
  <c r="D58" i="2" s="1"/>
  <c r="C56" i="1"/>
  <c r="A56" i="1"/>
  <c r="D56" i="1" s="1"/>
  <c r="B58" i="1"/>
  <c r="B59" i="1"/>
  <c r="A55" i="1"/>
  <c r="D55" i="1" s="1"/>
  <c r="C55" i="1"/>
  <c r="C57" i="1"/>
  <c r="A57" i="1"/>
  <c r="D57" i="1" s="1"/>
  <c r="A59" i="1" l="1"/>
  <c r="D59" i="1" s="1"/>
  <c r="C59" i="1"/>
  <c r="C58" i="1"/>
  <c r="A58" i="1"/>
  <c r="D58" i="1" s="1"/>
  <c r="B61" i="1"/>
  <c r="B60" i="1"/>
  <c r="C61" i="2"/>
  <c r="A61" i="2"/>
  <c r="D61" i="2" s="1"/>
  <c r="B63" i="2"/>
  <c r="B64" i="2" l="1"/>
  <c r="C63" i="2"/>
  <c r="A63" i="2"/>
  <c r="D63" i="2" s="1"/>
  <c r="B62" i="1"/>
  <c r="C60" i="1"/>
  <c r="A60" i="1"/>
  <c r="D60" i="1" s="1"/>
  <c r="C61" i="1"/>
  <c r="A61" i="1"/>
  <c r="D61" i="1" s="1"/>
  <c r="C62" i="1" l="1"/>
  <c r="A62" i="1"/>
  <c r="D62" i="1" s="1"/>
  <c r="B63" i="1"/>
  <c r="B65" i="2"/>
  <c r="C64" i="2"/>
  <c r="A64" i="2"/>
  <c r="D64" i="2" s="1"/>
  <c r="B66" i="2" l="1"/>
  <c r="C65" i="2"/>
  <c r="A65" i="2"/>
  <c r="D65" i="2" s="1"/>
  <c r="B64" i="1"/>
  <c r="C63" i="1"/>
  <c r="A63" i="1"/>
  <c r="D63" i="1" s="1"/>
  <c r="B66" i="1" l="1"/>
  <c r="B65" i="1"/>
  <c r="C64" i="1"/>
  <c r="A64" i="1"/>
  <c r="D64" i="1" s="1"/>
  <c r="C66" i="2"/>
  <c r="A66" i="2"/>
  <c r="D66" i="2" s="1"/>
  <c r="B69" i="2"/>
  <c r="A69" i="2" l="1"/>
  <c r="D69" i="2" s="1"/>
  <c r="B71" i="2"/>
  <c r="C69" i="2"/>
  <c r="C65" i="1"/>
  <c r="B69" i="1"/>
  <c r="A65" i="1"/>
  <c r="D65" i="1" s="1"/>
  <c r="B68" i="1"/>
  <c r="B67" i="1"/>
  <c r="A66" i="1"/>
  <c r="D66" i="1" s="1"/>
  <c r="C66" i="1"/>
  <c r="B70" i="1" l="1"/>
  <c r="C67" i="1"/>
  <c r="A67" i="1"/>
  <c r="D67" i="1" s="1"/>
  <c r="C69" i="1"/>
  <c r="A69" i="1"/>
  <c r="D69" i="1" s="1"/>
  <c r="B74" i="2"/>
  <c r="C71" i="2"/>
  <c r="A71" i="2"/>
  <c r="D71" i="2" s="1"/>
  <c r="C68" i="1"/>
  <c r="A68" i="1"/>
  <c r="D68" i="1" s="1"/>
  <c r="C74" i="2" l="1"/>
  <c r="A74" i="2"/>
  <c r="D74" i="2" s="1"/>
  <c r="B76" i="2"/>
  <c r="A70" i="1"/>
  <c r="D70" i="1" s="1"/>
  <c r="B72" i="1"/>
  <c r="C70" i="1"/>
  <c r="B71" i="1"/>
  <c r="B77" i="2" l="1"/>
  <c r="C76" i="2"/>
  <c r="A76" i="2"/>
  <c r="D76" i="2" s="1"/>
  <c r="B74" i="1"/>
  <c r="B73" i="1"/>
  <c r="C71" i="1"/>
  <c r="A71" i="1"/>
  <c r="D71" i="1" s="1"/>
  <c r="C72" i="1"/>
  <c r="A72" i="1"/>
  <c r="D72" i="1" s="1"/>
  <c r="A74" i="1" l="1"/>
  <c r="D74" i="1" s="1"/>
  <c r="C74" i="1"/>
  <c r="C73" i="1"/>
  <c r="A73" i="1"/>
  <c r="D73" i="1" s="1"/>
  <c r="B75" i="1"/>
  <c r="B78" i="2"/>
  <c r="A77" i="2"/>
  <c r="D77" i="2" s="1"/>
  <c r="C77" i="2"/>
  <c r="B76" i="1" l="1"/>
  <c r="C75" i="1"/>
  <c r="A75" i="1"/>
  <c r="D75" i="1" s="1"/>
  <c r="B80" i="2"/>
  <c r="C78" i="2"/>
  <c r="A78" i="2"/>
  <c r="D78" i="2" s="1"/>
  <c r="C80" i="2" l="1"/>
  <c r="A80" i="2"/>
  <c r="D80" i="2" s="1"/>
  <c r="B81" i="2"/>
  <c r="B77" i="1"/>
  <c r="C76" i="1"/>
  <c r="A76" i="1"/>
  <c r="D76" i="1" s="1"/>
  <c r="B78" i="1"/>
  <c r="C77" i="1" l="1"/>
  <c r="B81" i="1"/>
  <c r="A77" i="1"/>
  <c r="D77" i="1" s="1"/>
  <c r="B80" i="1"/>
  <c r="B79" i="1"/>
  <c r="B82" i="1"/>
  <c r="A78" i="1"/>
  <c r="D78" i="1" s="1"/>
  <c r="C78" i="1"/>
  <c r="B84" i="2"/>
  <c r="C81" i="2"/>
  <c r="A81" i="2"/>
  <c r="D81" i="2" s="1"/>
  <c r="A82" i="1" l="1"/>
  <c r="D82" i="1" s="1"/>
  <c r="C82" i="1"/>
  <c r="B84" i="1"/>
  <c r="B83" i="1"/>
  <c r="C79" i="1"/>
  <c r="A79" i="1"/>
  <c r="D79" i="1" s="1"/>
  <c r="C80" i="1"/>
  <c r="A80" i="1"/>
  <c r="D80" i="1" s="1"/>
  <c r="B87" i="2"/>
  <c r="C84" i="2"/>
  <c r="A84" i="2"/>
  <c r="D84" i="2" s="1"/>
  <c r="C81" i="1"/>
  <c r="A81" i="1"/>
  <c r="D81" i="1" s="1"/>
  <c r="B85" i="1" l="1"/>
  <c r="B87" i="1"/>
  <c r="B86" i="1"/>
  <c r="A83" i="1"/>
  <c r="D83" i="1" s="1"/>
  <c r="C83" i="1"/>
  <c r="C84" i="1"/>
  <c r="A84" i="1"/>
  <c r="D84" i="1" s="1"/>
  <c r="C87" i="2"/>
  <c r="A87" i="2"/>
  <c r="D87" i="2" s="1"/>
  <c r="B90" i="2"/>
  <c r="C90" i="2" l="1"/>
  <c r="B91" i="2"/>
  <c r="A90" i="2"/>
  <c r="D90" i="2" s="1"/>
  <c r="C87" i="1"/>
  <c r="A87" i="1"/>
  <c r="D87" i="1" s="1"/>
  <c r="A86" i="1"/>
  <c r="D86" i="1" s="1"/>
  <c r="C86" i="1"/>
  <c r="C85" i="1"/>
  <c r="A85" i="1"/>
  <c r="D85" i="1" s="1"/>
  <c r="B88" i="1"/>
  <c r="B89" i="1" l="1"/>
  <c r="C88" i="1"/>
  <c r="A88" i="1"/>
  <c r="D88" i="1" s="1"/>
  <c r="B92" i="2"/>
  <c r="C91" i="2"/>
  <c r="A91" i="2"/>
  <c r="D91" i="2" s="1"/>
  <c r="B93" i="2" l="1"/>
  <c r="C92" i="2"/>
  <c r="A92" i="2"/>
  <c r="D92" i="2" s="1"/>
  <c r="C89" i="1"/>
  <c r="A89" i="1"/>
  <c r="D89" i="1" s="1"/>
  <c r="B90" i="1"/>
  <c r="A90" i="1" l="1"/>
  <c r="D90" i="1" s="1"/>
  <c r="B91" i="1"/>
  <c r="C90" i="1"/>
  <c r="A93" i="2"/>
  <c r="D93" i="2" s="1"/>
  <c r="B95" i="2"/>
  <c r="C93" i="2"/>
  <c r="B96" i="2" l="1"/>
  <c r="C95" i="2"/>
  <c r="A95" i="2"/>
  <c r="D95" i="2" s="1"/>
  <c r="B93" i="1"/>
  <c r="C93" i="1" s="1"/>
  <c r="B92" i="1"/>
  <c r="C91" i="1"/>
  <c r="A91" i="1"/>
  <c r="D91" i="1" s="1"/>
  <c r="A94" i="1" l="1"/>
  <c r="D94" i="1" s="1"/>
  <c r="A93" i="1"/>
  <c r="D93" i="1" s="1"/>
  <c r="C92" i="1"/>
  <c r="B96" i="1"/>
  <c r="A96" i="1"/>
  <c r="D96" i="1" s="1"/>
  <c r="A92" i="1"/>
  <c r="D92" i="1" s="1"/>
  <c r="B95" i="1"/>
  <c r="C95" i="1" s="1"/>
  <c r="B94" i="1"/>
  <c r="C94" i="1" s="1"/>
  <c r="A95" i="1"/>
  <c r="D95" i="1" s="1"/>
  <c r="B98" i="2"/>
  <c r="A96" i="2"/>
  <c r="D96" i="2" s="1"/>
  <c r="C96" i="2"/>
  <c r="B97" i="1" l="1"/>
  <c r="C96" i="1"/>
  <c r="B98" i="1"/>
  <c r="C98" i="2"/>
  <c r="A98" i="2"/>
  <c r="D98" i="2" s="1"/>
  <c r="B100" i="2"/>
  <c r="A100" i="2" l="1"/>
  <c r="D100" i="2" s="1"/>
  <c r="B101" i="2"/>
  <c r="C100" i="2"/>
  <c r="A98" i="1"/>
  <c r="D98" i="1" s="1"/>
  <c r="C98" i="1"/>
  <c r="C97" i="1"/>
  <c r="A97" i="1"/>
  <c r="D97" i="1" s="1"/>
  <c r="B100" i="1"/>
  <c r="B99" i="1"/>
  <c r="C100" i="1" l="1"/>
  <c r="A100" i="1"/>
  <c r="D100" i="1" s="1"/>
  <c r="B102" i="2"/>
  <c r="C101" i="2"/>
  <c r="A101" i="2"/>
  <c r="D101" i="2" s="1"/>
  <c r="B101" i="1"/>
  <c r="C99" i="1"/>
  <c r="A99" i="1"/>
  <c r="D99" i="1" s="1"/>
  <c r="B104" i="2" l="1"/>
  <c r="C102" i="2"/>
  <c r="A102" i="2"/>
  <c r="D102" i="2" s="1"/>
  <c r="C101" i="1"/>
  <c r="A101" i="1"/>
  <c r="D101" i="1" s="1"/>
  <c r="B102" i="1"/>
  <c r="C102" i="1" l="1"/>
  <c r="A102" i="1"/>
  <c r="D102" i="1" s="1"/>
  <c r="B103" i="1"/>
  <c r="C104" i="2"/>
  <c r="A104" i="2"/>
  <c r="D104" i="2" s="1"/>
  <c r="B107" i="2"/>
  <c r="A107" i="2" l="1"/>
  <c r="D107" i="2" s="1"/>
  <c r="C107" i="2"/>
  <c r="B111" i="2"/>
  <c r="B105" i="1"/>
  <c r="B104" i="1"/>
  <c r="A103" i="1"/>
  <c r="D103" i="1" s="1"/>
  <c r="C103" i="1"/>
  <c r="C105" i="1" l="1"/>
  <c r="A105" i="1"/>
  <c r="D105" i="1" s="1"/>
  <c r="B114" i="2"/>
  <c r="A111" i="2"/>
  <c r="D111" i="2" s="1"/>
  <c r="C111" i="2"/>
  <c r="C104" i="1"/>
  <c r="A104" i="1"/>
  <c r="D104" i="1" s="1"/>
  <c r="B106" i="1"/>
  <c r="B107" i="1"/>
  <c r="A107" i="1" l="1"/>
  <c r="D107" i="1" s="1"/>
  <c r="C107" i="1"/>
  <c r="B109" i="1"/>
  <c r="B108" i="1"/>
  <c r="C106" i="1"/>
  <c r="B110" i="1"/>
  <c r="A106" i="1"/>
  <c r="D106" i="1" s="1"/>
  <c r="B116" i="2"/>
  <c r="A114" i="2"/>
  <c r="D114" i="2" s="1"/>
  <c r="C114" i="2"/>
  <c r="C116" i="2" l="1"/>
  <c r="A116" i="2"/>
  <c r="D116" i="2" s="1"/>
  <c r="B117" i="2"/>
  <c r="C110" i="1"/>
  <c r="A110" i="1"/>
  <c r="D110" i="1" s="1"/>
  <c r="C108" i="1"/>
  <c r="B112" i="1"/>
  <c r="A108" i="1"/>
  <c r="D108" i="1" s="1"/>
  <c r="B111" i="1"/>
  <c r="C109" i="1"/>
  <c r="A109" i="1"/>
  <c r="D109" i="1" s="1"/>
  <c r="B118" i="2" l="1"/>
  <c r="C117" i="2"/>
  <c r="A117" i="2"/>
  <c r="D117" i="2" s="1"/>
  <c r="B113" i="1"/>
  <c r="A111" i="1"/>
  <c r="D111" i="1" s="1"/>
  <c r="C111" i="1"/>
  <c r="C112" i="1"/>
  <c r="A112" i="1"/>
  <c r="D112" i="1" s="1"/>
  <c r="C113" i="1" l="1"/>
  <c r="A113" i="1"/>
  <c r="D113" i="1" s="1"/>
  <c r="B114" i="1"/>
  <c r="B119" i="2"/>
  <c r="C118" i="2"/>
  <c r="A118" i="2"/>
  <c r="D118" i="2" s="1"/>
  <c r="B121" i="2" l="1"/>
  <c r="C119" i="2"/>
  <c r="A119" i="2"/>
  <c r="D119" i="2" s="1"/>
  <c r="A114" i="1"/>
  <c r="D114" i="1" s="1"/>
  <c r="B115" i="1"/>
  <c r="C114" i="1"/>
  <c r="B117" i="1" l="1"/>
  <c r="B116" i="1"/>
  <c r="C115" i="1"/>
  <c r="A115" i="1"/>
  <c r="D115" i="1" s="1"/>
  <c r="C121" i="2"/>
  <c r="A121" i="2"/>
  <c r="D121" i="2" s="1"/>
  <c r="B122" i="2"/>
  <c r="A122" i="2" l="1"/>
  <c r="D122" i="2" s="1"/>
  <c r="B126" i="2"/>
  <c r="C122" i="2"/>
  <c r="C116" i="1"/>
  <c r="A116" i="1"/>
  <c r="D116" i="1" s="1"/>
  <c r="B118" i="1"/>
  <c r="B119" i="1"/>
  <c r="C117" i="1"/>
  <c r="A117" i="1"/>
  <c r="D117" i="1" s="1"/>
  <c r="B121" i="1" l="1"/>
  <c r="B120" i="1"/>
  <c r="A118" i="1"/>
  <c r="D118" i="1" s="1"/>
  <c r="C118" i="1"/>
  <c r="B128" i="2"/>
  <c r="A126" i="2"/>
  <c r="D126" i="2" s="1"/>
  <c r="C126" i="2"/>
  <c r="C119" i="1"/>
  <c r="A119" i="1"/>
  <c r="D119" i="1" s="1"/>
  <c r="C121" i="1" l="1"/>
  <c r="A121" i="1"/>
  <c r="D121" i="1" s="1"/>
  <c r="B129" i="2"/>
  <c r="C128" i="2"/>
  <c r="A128" i="2"/>
  <c r="D128" i="2" s="1"/>
  <c r="C120" i="1"/>
  <c r="A120" i="1"/>
  <c r="D120" i="1" s="1"/>
  <c r="B122" i="1"/>
  <c r="B123" i="1" l="1"/>
  <c r="A122" i="1"/>
  <c r="D122" i="1" s="1"/>
  <c r="C122" i="1"/>
  <c r="C129" i="2"/>
  <c r="A129" i="2"/>
  <c r="D129" i="2" s="1"/>
  <c r="B130" i="2"/>
  <c r="B131" i="2" l="1"/>
  <c r="C130" i="2"/>
  <c r="A130" i="2"/>
  <c r="D130" i="2" s="1"/>
  <c r="B124" i="1"/>
  <c r="C123" i="1"/>
  <c r="A123" i="1"/>
  <c r="D123" i="1" s="1"/>
  <c r="B125" i="1" l="1"/>
  <c r="C124" i="1"/>
  <c r="A124" i="1"/>
  <c r="D124" i="1" s="1"/>
  <c r="B132" i="2"/>
  <c r="A131" i="2"/>
  <c r="D131" i="2" s="1"/>
  <c r="C131" i="2"/>
  <c r="B133" i="2" l="1"/>
  <c r="C132" i="2"/>
  <c r="A132" i="2"/>
  <c r="D132" i="2" s="1"/>
  <c r="A125" i="1"/>
  <c r="D125" i="1" s="1"/>
  <c r="B128" i="1"/>
  <c r="B127" i="1"/>
  <c r="C125" i="1"/>
  <c r="B126" i="1"/>
  <c r="C127" i="1" l="1"/>
  <c r="A127" i="1"/>
  <c r="D127" i="1" s="1"/>
  <c r="B129" i="1"/>
  <c r="C126" i="1"/>
  <c r="A126" i="1"/>
  <c r="D126" i="1" s="1"/>
  <c r="C128" i="1"/>
  <c r="A128" i="1"/>
  <c r="D128" i="1" s="1"/>
  <c r="C133" i="2"/>
  <c r="A133" i="2"/>
  <c r="D133" i="2" s="1"/>
  <c r="B134" i="2"/>
  <c r="B135" i="2" l="1"/>
  <c r="A134" i="2"/>
  <c r="D134" i="2" s="1"/>
  <c r="C134" i="2"/>
  <c r="A129" i="1"/>
  <c r="D129" i="1" s="1"/>
  <c r="B131" i="1"/>
  <c r="C129" i="1"/>
  <c r="B130" i="1"/>
  <c r="C131" i="1" l="1"/>
  <c r="A131" i="1"/>
  <c r="D131" i="1" s="1"/>
  <c r="B132" i="1"/>
  <c r="C130" i="1"/>
  <c r="A130" i="1"/>
  <c r="D130" i="1" s="1"/>
  <c r="B136" i="2"/>
  <c r="C135" i="2"/>
  <c r="A135" i="2"/>
  <c r="D135" i="2" s="1"/>
  <c r="C132" i="1" l="1"/>
  <c r="A132" i="1"/>
  <c r="D132" i="1" s="1"/>
  <c r="B133" i="1"/>
  <c r="B137" i="2"/>
  <c r="C136" i="2"/>
  <c r="A136" i="2"/>
  <c r="D136" i="2" s="1"/>
  <c r="A137" i="2" l="1"/>
  <c r="D137" i="2" s="1"/>
  <c r="B138" i="2"/>
  <c r="C137" i="2"/>
  <c r="A133" i="1"/>
  <c r="D133" i="1" s="1"/>
  <c r="B134" i="1"/>
  <c r="C133" i="1"/>
  <c r="B135" i="1" l="1"/>
  <c r="C134" i="1"/>
  <c r="A134" i="1"/>
  <c r="D134" i="1" s="1"/>
  <c r="C138" i="2"/>
  <c r="A138" i="2"/>
  <c r="D138" i="2" s="1"/>
  <c r="B139" i="2"/>
  <c r="B140" i="2" l="1"/>
  <c r="C139" i="2"/>
  <c r="A139" i="2"/>
  <c r="D139" i="2" s="1"/>
  <c r="B136" i="1"/>
  <c r="C135" i="1"/>
  <c r="A135" i="1"/>
  <c r="D135" i="1" s="1"/>
  <c r="C136" i="1" l="1"/>
  <c r="A136" i="1"/>
  <c r="D136" i="1" s="1"/>
  <c r="B137" i="1"/>
  <c r="B142" i="2"/>
  <c r="C140" i="2"/>
  <c r="A140" i="2"/>
  <c r="D140" i="2" s="1"/>
  <c r="A142" i="2" l="1"/>
  <c r="D142" i="2" s="1"/>
  <c r="C142" i="2"/>
  <c r="B144" i="2"/>
  <c r="A137" i="1"/>
  <c r="D137" i="1" s="1"/>
  <c r="B138" i="1"/>
  <c r="C137" i="1"/>
  <c r="B139" i="1" l="1"/>
  <c r="C138" i="1"/>
  <c r="A138" i="1"/>
  <c r="D138" i="1" s="1"/>
  <c r="B145" i="2"/>
  <c r="C144" i="2"/>
  <c r="A144" i="2"/>
  <c r="D144" i="2" s="1"/>
  <c r="B146" i="2" l="1"/>
  <c r="C145" i="2"/>
  <c r="A145" i="2"/>
  <c r="D145" i="2" s="1"/>
  <c r="B140" i="1"/>
  <c r="C139" i="1"/>
  <c r="A139" i="1"/>
  <c r="D139" i="1" s="1"/>
  <c r="C140" i="1" l="1"/>
  <c r="A140" i="1"/>
  <c r="D140" i="1" s="1"/>
  <c r="B141" i="1"/>
  <c r="C146" i="2"/>
  <c r="A146" i="2"/>
  <c r="D146" i="2" s="1"/>
  <c r="B147" i="2"/>
  <c r="A141" i="1" l="1"/>
  <c r="D141" i="1" s="1"/>
  <c r="B142" i="1"/>
  <c r="C141" i="1"/>
  <c r="A147" i="2"/>
  <c r="D147" i="2" s="1"/>
  <c r="B149" i="2"/>
  <c r="C147" i="2"/>
  <c r="B151" i="2" l="1"/>
  <c r="C149" i="2"/>
  <c r="A149" i="2"/>
  <c r="D149" i="2" s="1"/>
  <c r="B143" i="1"/>
  <c r="B144" i="1"/>
  <c r="A142" i="1"/>
  <c r="D142" i="1" s="1"/>
  <c r="C142" i="1"/>
  <c r="C144" i="1" l="1"/>
  <c r="A144" i="1"/>
  <c r="D144" i="1" s="1"/>
  <c r="C143" i="1"/>
  <c r="B145" i="1"/>
  <c r="A143" i="1"/>
  <c r="D143" i="1" s="1"/>
  <c r="B154" i="2"/>
  <c r="C151" i="2"/>
  <c r="A151" i="2"/>
  <c r="D151" i="2" s="1"/>
  <c r="B147" i="1" l="1"/>
  <c r="C145" i="1"/>
  <c r="A145" i="1"/>
  <c r="D145" i="1" s="1"/>
  <c r="B148" i="1"/>
  <c r="B146" i="1"/>
  <c r="C154" i="2"/>
  <c r="A154" i="2"/>
  <c r="D154" i="2" s="1"/>
  <c r="B156" i="2"/>
  <c r="A156" i="2" l="1"/>
  <c r="D156" i="2" s="1"/>
  <c r="B157" i="2"/>
  <c r="C156" i="2"/>
  <c r="B150" i="1"/>
  <c r="B149" i="1"/>
  <c r="C146" i="1"/>
  <c r="A146" i="1"/>
  <c r="D146" i="1" s="1"/>
  <c r="C148" i="1"/>
  <c r="A148" i="1"/>
  <c r="D148" i="1" s="1"/>
  <c r="C147" i="1"/>
  <c r="A147" i="1"/>
  <c r="D147" i="1" s="1"/>
  <c r="B151" i="1" l="1"/>
  <c r="C149" i="1"/>
  <c r="A149" i="1"/>
  <c r="D149" i="1" s="1"/>
  <c r="B158" i="2"/>
  <c r="C157" i="2"/>
  <c r="A157" i="2"/>
  <c r="D157" i="2" s="1"/>
  <c r="C150" i="1"/>
  <c r="A150" i="1"/>
  <c r="D150" i="1" s="1"/>
  <c r="B159" i="2" l="1"/>
  <c r="C158" i="2"/>
  <c r="A158" i="2"/>
  <c r="D158" i="2" s="1"/>
  <c r="B152" i="1"/>
  <c r="A151" i="1"/>
  <c r="D151" i="1" s="1"/>
  <c r="C151" i="1"/>
  <c r="B153" i="1" l="1"/>
  <c r="A152" i="1"/>
  <c r="D152" i="1" s="1"/>
  <c r="C152" i="1"/>
  <c r="C159" i="2"/>
  <c r="A159" i="2"/>
  <c r="D159" i="2" s="1"/>
  <c r="B162" i="2"/>
  <c r="C162" i="2" l="1"/>
  <c r="A162" i="2"/>
  <c r="D162" i="2" s="1"/>
  <c r="B166" i="2"/>
  <c r="B155" i="1"/>
  <c r="B154" i="1"/>
  <c r="C153" i="1"/>
  <c r="A153" i="1"/>
  <c r="D153" i="1" s="1"/>
  <c r="A155" i="1" l="1"/>
  <c r="D155" i="1" s="1"/>
  <c r="C155" i="1"/>
  <c r="B170" i="2"/>
  <c r="A166" i="2"/>
  <c r="D166" i="2" s="1"/>
  <c r="C166" i="2"/>
  <c r="B156" i="1"/>
  <c r="C154" i="1"/>
  <c r="A154" i="1"/>
  <c r="D154" i="1" s="1"/>
  <c r="B159" i="1" l="1"/>
  <c r="B158" i="1"/>
  <c r="C156" i="1"/>
  <c r="A156" i="1"/>
  <c r="D156" i="1" s="1"/>
  <c r="B157" i="1"/>
  <c r="B172" i="2"/>
  <c r="C170" i="2"/>
  <c r="A170" i="2"/>
  <c r="D170" i="2" s="1"/>
  <c r="C172" i="2" l="1"/>
  <c r="A172" i="2"/>
  <c r="D172" i="2" s="1"/>
  <c r="B173" i="2"/>
  <c r="B160" i="1"/>
  <c r="A157" i="1"/>
  <c r="D157" i="1" s="1"/>
  <c r="C157" i="1"/>
  <c r="C158" i="1"/>
  <c r="A158" i="1"/>
  <c r="D158" i="1" s="1"/>
  <c r="A159" i="1"/>
  <c r="D159" i="1" s="1"/>
  <c r="C159" i="1"/>
  <c r="C160" i="1" l="1"/>
  <c r="A160" i="1"/>
  <c r="D160" i="1" s="1"/>
  <c r="B161" i="1"/>
  <c r="B174" i="2"/>
  <c r="C173" i="2"/>
  <c r="A173" i="2"/>
  <c r="D173" i="2" s="1"/>
  <c r="B177" i="2" l="1"/>
  <c r="C174" i="2"/>
  <c r="A174" i="2"/>
  <c r="D174" i="2" s="1"/>
  <c r="B162" i="1"/>
  <c r="C161" i="1"/>
  <c r="A161" i="1"/>
  <c r="D161" i="1" s="1"/>
  <c r="B163" i="1" l="1"/>
  <c r="C162" i="1"/>
  <c r="A162" i="1"/>
  <c r="D162" i="1" s="1"/>
  <c r="B180" i="2"/>
  <c r="C177" i="2"/>
  <c r="A177" i="2"/>
  <c r="D177" i="2" s="1"/>
  <c r="C180" i="2" l="1"/>
  <c r="A180" i="2"/>
  <c r="D180" i="2" s="1"/>
  <c r="B183" i="2"/>
  <c r="A163" i="1"/>
  <c r="D163" i="1" s="1"/>
  <c r="B164" i="1"/>
  <c r="C163" i="1"/>
  <c r="C183" i="2" l="1"/>
  <c r="A183" i="2"/>
  <c r="D183" i="2" s="1"/>
  <c r="B184" i="2"/>
  <c r="A164" i="1"/>
  <c r="D164" i="1" s="1"/>
  <c r="C164" i="1"/>
  <c r="B165" i="1"/>
  <c r="A165" i="1" l="1"/>
  <c r="D165" i="1" s="1"/>
  <c r="B166" i="1"/>
  <c r="C165" i="1"/>
  <c r="B185" i="2"/>
  <c r="C184" i="2"/>
  <c r="A184" i="2"/>
  <c r="D184" i="2" s="1"/>
  <c r="B186" i="2" l="1"/>
  <c r="C185" i="2"/>
  <c r="A185" i="2"/>
  <c r="D185" i="2" s="1"/>
  <c r="B167" i="1"/>
  <c r="C166" i="1"/>
  <c r="A166" i="1"/>
  <c r="D166" i="1" s="1"/>
  <c r="A167" i="1" l="1"/>
  <c r="D167" i="1" s="1"/>
  <c r="B168" i="1"/>
  <c r="C167" i="1"/>
  <c r="A186" i="2"/>
  <c r="D186" i="2" s="1"/>
  <c r="C186" i="2"/>
  <c r="B187" i="2"/>
  <c r="B188" i="2" l="1"/>
  <c r="C187" i="2"/>
  <c r="A187" i="2"/>
  <c r="D187" i="2" s="1"/>
  <c r="B169" i="1"/>
  <c r="C168" i="1"/>
  <c r="A168" i="1"/>
  <c r="D168" i="1" s="1"/>
  <c r="A169" i="1" l="1"/>
  <c r="D169" i="1" s="1"/>
  <c r="C169" i="1"/>
  <c r="B170" i="1"/>
  <c r="B190" i="2"/>
  <c r="C188" i="2"/>
  <c r="A188" i="2"/>
  <c r="D188" i="2" s="1"/>
  <c r="C170" i="1" l="1"/>
  <c r="B173" i="1"/>
  <c r="B172" i="1"/>
  <c r="A170" i="1"/>
  <c r="D170" i="1" s="1"/>
  <c r="B171" i="1"/>
  <c r="B192" i="2"/>
  <c r="C190" i="2"/>
  <c r="A190" i="2"/>
  <c r="D190" i="2" s="1"/>
  <c r="A171" i="1" l="1"/>
  <c r="D171" i="1" s="1"/>
  <c r="B174" i="1"/>
  <c r="C171" i="1"/>
  <c r="A192" i="2"/>
  <c r="D192" i="2" s="1"/>
  <c r="C192" i="2"/>
  <c r="B194" i="2"/>
  <c r="C172" i="1"/>
  <c r="A172" i="1"/>
  <c r="D172" i="1" s="1"/>
  <c r="C173" i="1"/>
  <c r="A173" i="1"/>
  <c r="D173" i="1" s="1"/>
  <c r="B195" i="2" l="1"/>
  <c r="A194" i="2"/>
  <c r="D194" i="2" s="1"/>
  <c r="C194" i="2"/>
  <c r="C174" i="1"/>
  <c r="A174" i="1"/>
  <c r="D174" i="1" s="1"/>
  <c r="B175" i="1"/>
  <c r="B176" i="1"/>
  <c r="B177" i="1" l="1"/>
  <c r="A175" i="1"/>
  <c r="D175" i="1" s="1"/>
  <c r="C175" i="1"/>
  <c r="A176" i="1"/>
  <c r="D176" i="1" s="1"/>
  <c r="C176" i="1"/>
  <c r="B196" i="2"/>
  <c r="C195" i="2"/>
  <c r="A195" i="2"/>
  <c r="D195" i="2" s="1"/>
  <c r="C196" i="2" l="1"/>
  <c r="A196" i="2"/>
  <c r="D196" i="2" s="1"/>
  <c r="B197" i="2"/>
  <c r="B178" i="1"/>
  <c r="C177" i="1"/>
  <c r="A177" i="1"/>
  <c r="D177" i="1" s="1"/>
  <c r="C178" i="1" l="1"/>
  <c r="A178" i="1"/>
  <c r="D178" i="1" s="1"/>
  <c r="B179" i="1"/>
  <c r="A197" i="2"/>
  <c r="D197" i="2" s="1"/>
  <c r="B199" i="2"/>
  <c r="C197" i="2"/>
  <c r="B202" i="2" l="1"/>
  <c r="C199" i="2"/>
  <c r="A199" i="2"/>
  <c r="D199" i="2" s="1"/>
  <c r="C179" i="1"/>
  <c r="A179" i="1"/>
  <c r="D179" i="1" s="1"/>
  <c r="B180" i="1"/>
  <c r="B182" i="1" l="1"/>
  <c r="B181" i="1"/>
  <c r="C180" i="1"/>
  <c r="A180" i="1"/>
  <c r="D180" i="1" s="1"/>
  <c r="B203" i="2"/>
  <c r="C202" i="2"/>
  <c r="A202" i="2"/>
  <c r="D202" i="2" s="1"/>
  <c r="C203" i="2" l="1"/>
  <c r="A203" i="2"/>
  <c r="D203" i="2" s="1"/>
  <c r="B204" i="2"/>
  <c r="B183" i="1"/>
  <c r="C181" i="1"/>
  <c r="A181" i="1"/>
  <c r="D181" i="1" s="1"/>
  <c r="C182" i="1"/>
  <c r="A182" i="1"/>
  <c r="D182" i="1" s="1"/>
  <c r="C183" i="1" l="1"/>
  <c r="A183" i="1"/>
  <c r="D183" i="1" s="1"/>
  <c r="B184" i="1"/>
  <c r="A204" i="2"/>
  <c r="D204" i="2" s="1"/>
  <c r="C204" i="2"/>
  <c r="B205" i="2"/>
  <c r="B206" i="2" l="1"/>
  <c r="C205" i="2"/>
  <c r="A205" i="2"/>
  <c r="D205" i="2" s="1"/>
  <c r="A184" i="1"/>
  <c r="D184" i="1" s="1"/>
  <c r="B185" i="1"/>
  <c r="C184" i="1"/>
  <c r="B186" i="1" l="1"/>
  <c r="C185" i="1"/>
  <c r="A185" i="1"/>
  <c r="D185" i="1" s="1"/>
  <c r="B207" i="2"/>
  <c r="C206" i="2"/>
  <c r="A206" i="2"/>
  <c r="D206" i="2" s="1"/>
  <c r="C207" i="2" l="1"/>
  <c r="A207" i="2"/>
  <c r="D207" i="2" s="1"/>
  <c r="B208" i="2"/>
  <c r="B187" i="1"/>
  <c r="A186" i="1"/>
  <c r="D186" i="1" s="1"/>
  <c r="C186" i="1"/>
  <c r="B188" i="1" l="1"/>
  <c r="C187" i="1"/>
  <c r="A187" i="1"/>
  <c r="D187" i="1" s="1"/>
  <c r="B189" i="1"/>
  <c r="B211" i="2"/>
  <c r="C208" i="2"/>
  <c r="A208" i="2"/>
  <c r="D208" i="2" s="1"/>
  <c r="A189" i="1" l="1"/>
  <c r="D189" i="1" s="1"/>
  <c r="C189" i="1"/>
  <c r="B213" i="2"/>
  <c r="C211" i="2"/>
  <c r="A211" i="2"/>
  <c r="D211" i="2" s="1"/>
  <c r="B191" i="1"/>
  <c r="B190" i="1"/>
  <c r="C188" i="1"/>
  <c r="A188" i="1"/>
  <c r="D188" i="1" s="1"/>
  <c r="C191" i="1" l="1"/>
  <c r="A191" i="1"/>
  <c r="D191" i="1" s="1"/>
  <c r="B215" i="2"/>
  <c r="C213" i="2"/>
  <c r="A213" i="2"/>
  <c r="D213" i="2" s="1"/>
  <c r="A190" i="1"/>
  <c r="D190" i="1" s="1"/>
  <c r="B192" i="1"/>
  <c r="C190" i="1"/>
  <c r="B194" i="1" l="1"/>
  <c r="B193" i="1"/>
  <c r="C192" i="1"/>
  <c r="A192" i="1"/>
  <c r="D192" i="1" s="1"/>
  <c r="C215" i="2"/>
  <c r="A215" i="2"/>
  <c r="D215" i="2" s="1"/>
  <c r="B216" i="2"/>
  <c r="B217" i="2" l="1"/>
  <c r="A216" i="2"/>
  <c r="D216" i="2" s="1"/>
  <c r="C216" i="2"/>
  <c r="B195" i="1"/>
  <c r="A193" i="1"/>
  <c r="D193" i="1" s="1"/>
  <c r="C193" i="1"/>
  <c r="A194" i="1"/>
  <c r="D194" i="1" s="1"/>
  <c r="C194" i="1"/>
  <c r="B196" i="1" l="1"/>
  <c r="A195" i="1"/>
  <c r="D195" i="1" s="1"/>
  <c r="C195" i="1"/>
  <c r="B218" i="2"/>
  <c r="C217" i="2"/>
  <c r="A217" i="2"/>
  <c r="D217" i="2" s="1"/>
  <c r="B219" i="2" l="1"/>
  <c r="C218" i="2"/>
  <c r="A218" i="2"/>
  <c r="D218" i="2" s="1"/>
  <c r="B197" i="1"/>
  <c r="C196" i="1"/>
  <c r="A196" i="1"/>
  <c r="D196" i="1" s="1"/>
  <c r="B198" i="1" l="1"/>
  <c r="C197" i="1"/>
  <c r="A197" i="1"/>
  <c r="D197" i="1" s="1"/>
  <c r="C219" i="2"/>
  <c r="A219" i="2"/>
  <c r="D219" i="2" s="1"/>
  <c r="B221" i="2"/>
  <c r="B223" i="2" l="1"/>
  <c r="C221" i="2"/>
  <c r="A221" i="2"/>
  <c r="D221" i="2" s="1"/>
  <c r="A198" i="1"/>
  <c r="D198" i="1" s="1"/>
  <c r="B199" i="1"/>
  <c r="C198" i="1"/>
  <c r="B200" i="1"/>
  <c r="C200" i="1" l="1"/>
  <c r="A200" i="1"/>
  <c r="D200" i="1" s="1"/>
  <c r="A199" i="1"/>
  <c r="D199" i="1" s="1"/>
  <c r="B201" i="1"/>
  <c r="C199" i="1"/>
  <c r="B224" i="2"/>
  <c r="C223" i="2"/>
  <c r="A223" i="2"/>
  <c r="D223" i="2" s="1"/>
  <c r="B202" i="1" l="1"/>
  <c r="B203" i="1"/>
  <c r="C201" i="1"/>
  <c r="A201" i="1"/>
  <c r="D201" i="1" s="1"/>
  <c r="B225" i="2"/>
  <c r="C224" i="2"/>
  <c r="A224" i="2"/>
  <c r="D224" i="2" s="1"/>
  <c r="A225" i="2" l="1"/>
  <c r="D225" i="2" s="1"/>
  <c r="B226" i="2"/>
  <c r="C225" i="2"/>
  <c r="A203" i="1"/>
  <c r="D203" i="1" s="1"/>
  <c r="C203" i="1"/>
  <c r="A202" i="1"/>
  <c r="D202" i="1" s="1"/>
  <c r="C202" i="1"/>
  <c r="B204" i="1"/>
  <c r="B205" i="1"/>
  <c r="A226" i="2" l="1"/>
  <c r="D226" i="2" s="1"/>
  <c r="B227" i="2"/>
  <c r="C226" i="2"/>
  <c r="C205" i="1"/>
  <c r="A205" i="1"/>
  <c r="D205" i="1" s="1"/>
  <c r="B206" i="1"/>
  <c r="A204" i="1"/>
  <c r="D204" i="1" s="1"/>
  <c r="C204" i="1"/>
  <c r="C206" i="1" l="1"/>
  <c r="A206" i="1"/>
  <c r="D206" i="1" s="1"/>
  <c r="B207" i="1"/>
  <c r="B228" i="2"/>
  <c r="C227" i="2"/>
  <c r="A227" i="2"/>
  <c r="D227" i="2" s="1"/>
  <c r="B230" i="2" l="1"/>
  <c r="C228" i="2"/>
  <c r="A228" i="2"/>
  <c r="D228" i="2" s="1"/>
  <c r="B208" i="1"/>
  <c r="C207" i="1"/>
  <c r="A207" i="1"/>
  <c r="D207" i="1" s="1"/>
  <c r="B209" i="1"/>
  <c r="C209" i="1" l="1"/>
  <c r="A209" i="1"/>
  <c r="D209" i="1" s="1"/>
  <c r="A208" i="1"/>
  <c r="D208" i="1" s="1"/>
  <c r="B210" i="1"/>
  <c r="C208" i="1"/>
  <c r="B211" i="1"/>
  <c r="A230" i="2"/>
  <c r="D230" i="2" s="1"/>
  <c r="C230" i="2"/>
  <c r="B231" i="2"/>
  <c r="B233" i="2" l="1"/>
  <c r="C231" i="2"/>
  <c r="A231" i="2"/>
  <c r="D231" i="2" s="1"/>
  <c r="C211" i="1"/>
  <c r="A211" i="1"/>
  <c r="D211" i="1" s="1"/>
  <c r="C210" i="1"/>
  <c r="A210" i="1"/>
  <c r="D210" i="1" s="1"/>
  <c r="B212" i="1"/>
  <c r="B214" i="1" l="1"/>
  <c r="B213" i="1"/>
  <c r="C212" i="1"/>
  <c r="A212" i="1"/>
  <c r="D212" i="1" s="1"/>
  <c r="B215" i="1"/>
  <c r="B234" i="2"/>
  <c r="C233" i="2"/>
  <c r="A233" i="2"/>
  <c r="D233" i="2" s="1"/>
  <c r="C215" i="1" l="1"/>
  <c r="A215" i="1"/>
  <c r="D215" i="1" s="1"/>
  <c r="C234" i="2"/>
  <c r="A234" i="2"/>
  <c r="D234" i="2" s="1"/>
  <c r="B235" i="2"/>
  <c r="C213" i="1"/>
  <c r="A213" i="1"/>
  <c r="D213" i="1" s="1"/>
  <c r="B216" i="1"/>
  <c r="C214" i="1"/>
  <c r="A214" i="1"/>
  <c r="D214" i="1" s="1"/>
  <c r="A235" i="2" l="1"/>
  <c r="D235" i="2" s="1"/>
  <c r="B236" i="2"/>
  <c r="C235" i="2"/>
  <c r="B217" i="1"/>
  <c r="A216" i="1"/>
  <c r="D216" i="1" s="1"/>
  <c r="C216" i="1"/>
  <c r="B237" i="2" l="1"/>
  <c r="A236" i="2"/>
  <c r="D236" i="2" s="1"/>
  <c r="C236" i="2"/>
  <c r="B218" i="1"/>
  <c r="C217" i="1"/>
  <c r="A217" i="1"/>
  <c r="D217" i="1" s="1"/>
  <c r="C218" i="1" l="1"/>
  <c r="B219" i="1"/>
  <c r="A218" i="1"/>
  <c r="D218" i="1" s="1"/>
  <c r="B238" i="2"/>
  <c r="C237" i="2"/>
  <c r="A237" i="2"/>
  <c r="D237" i="2" s="1"/>
  <c r="C238" i="2" l="1"/>
  <c r="A238" i="2"/>
  <c r="D238" i="2" s="1"/>
  <c r="B239" i="2"/>
  <c r="B221" i="1"/>
  <c r="C219" i="1"/>
  <c r="A219" i="1"/>
  <c r="D219" i="1" s="1"/>
  <c r="B220" i="1"/>
  <c r="C221" i="1" l="1"/>
  <c r="A221" i="1"/>
  <c r="D221" i="1" s="1"/>
  <c r="B222" i="1"/>
  <c r="C220" i="1"/>
  <c r="A220" i="1"/>
  <c r="D220" i="1" s="1"/>
  <c r="A239" i="2"/>
  <c r="D239" i="2" s="1"/>
  <c r="C239" i="2"/>
  <c r="B240" i="2"/>
  <c r="C222" i="1" l="1"/>
  <c r="B223" i="1"/>
  <c r="A222" i="1"/>
  <c r="D222" i="1" s="1"/>
  <c r="B241" i="2"/>
  <c r="C240" i="2"/>
  <c r="A240" i="2"/>
  <c r="D240" i="2" s="1"/>
  <c r="B242" i="2" l="1"/>
  <c r="C241" i="2"/>
  <c r="A241" i="2"/>
  <c r="D241" i="2" s="1"/>
  <c r="B224" i="1"/>
  <c r="C223" i="1"/>
  <c r="A223" i="1"/>
  <c r="D223" i="1" s="1"/>
  <c r="B225" i="1" l="1"/>
  <c r="C224" i="1"/>
  <c r="A224" i="1"/>
  <c r="D224" i="1" s="1"/>
  <c r="C242" i="2"/>
  <c r="A242" i="2"/>
  <c r="D242" i="2" s="1"/>
  <c r="B243" i="2"/>
  <c r="B244" i="2" l="1"/>
  <c r="C243" i="2"/>
  <c r="A243" i="2"/>
  <c r="D243" i="2" s="1"/>
  <c r="B226" i="1"/>
  <c r="C225" i="1"/>
  <c r="A225" i="1"/>
  <c r="D225" i="1" s="1"/>
  <c r="A226" i="1" l="1"/>
  <c r="D226" i="1" s="1"/>
  <c r="B227" i="1"/>
  <c r="C226" i="1"/>
  <c r="B245" i="2"/>
  <c r="C244" i="2"/>
  <c r="A244" i="2"/>
  <c r="D244" i="2" s="1"/>
  <c r="B246" i="2" l="1"/>
  <c r="C245" i="2"/>
  <c r="A245" i="2"/>
  <c r="D245" i="2" s="1"/>
  <c r="B229" i="1"/>
  <c r="B228" i="1"/>
  <c r="C227" i="1"/>
  <c r="A227" i="1"/>
  <c r="D227" i="1" s="1"/>
  <c r="B230" i="1" l="1"/>
  <c r="C228" i="1"/>
  <c r="A228" i="1"/>
  <c r="D228" i="1" s="1"/>
  <c r="C229" i="1"/>
  <c r="A229" i="1"/>
  <c r="D229" i="1" s="1"/>
  <c r="C246" i="2"/>
  <c r="A246" i="2"/>
  <c r="D246" i="2" s="1"/>
  <c r="B247" i="2"/>
  <c r="B248" i="2" l="1"/>
  <c r="C247" i="2"/>
  <c r="A247" i="2"/>
  <c r="D247" i="2" s="1"/>
  <c r="A230" i="1"/>
  <c r="D230" i="1" s="1"/>
  <c r="B231" i="1"/>
  <c r="C230" i="1"/>
  <c r="B232" i="1"/>
  <c r="C232" i="1" l="1"/>
  <c r="A232" i="1"/>
  <c r="D232" i="1" s="1"/>
  <c r="B233" i="1"/>
  <c r="A231" i="1"/>
  <c r="D231" i="1" s="1"/>
  <c r="C231" i="1"/>
  <c r="B249" i="2"/>
  <c r="C248" i="2"/>
  <c r="A248" i="2"/>
  <c r="D248" i="2" s="1"/>
  <c r="B250" i="2" l="1"/>
  <c r="C249" i="2"/>
  <c r="A249" i="2"/>
  <c r="D249" i="2" s="1"/>
  <c r="C233" i="1"/>
  <c r="A233" i="1"/>
  <c r="D233" i="1" s="1"/>
  <c r="B234" i="1"/>
  <c r="A234" i="1" l="1"/>
  <c r="D234" i="1" s="1"/>
  <c r="B235" i="1"/>
  <c r="C234" i="1"/>
  <c r="C250" i="2"/>
  <c r="A250" i="2"/>
  <c r="D250" i="2" s="1"/>
  <c r="B251" i="2"/>
  <c r="B253" i="2" l="1"/>
  <c r="C251" i="2"/>
  <c r="A251" i="2"/>
  <c r="D251" i="2" s="1"/>
  <c r="C235" i="1"/>
  <c r="A235" i="1"/>
  <c r="D235" i="1" s="1"/>
  <c r="B236" i="1"/>
  <c r="B237" i="1" l="1"/>
  <c r="A236" i="1"/>
  <c r="D236" i="1" s="1"/>
  <c r="C236" i="1"/>
  <c r="B238" i="1"/>
  <c r="B254" i="2"/>
  <c r="C253" i="2"/>
  <c r="A253" i="2"/>
  <c r="D253" i="2" s="1"/>
  <c r="B255" i="2" l="1"/>
  <c r="C254" i="2"/>
  <c r="A254" i="2"/>
  <c r="D254" i="2" s="1"/>
  <c r="A238" i="1"/>
  <c r="D238" i="1" s="1"/>
  <c r="C238" i="1"/>
  <c r="A237" i="1"/>
  <c r="D237" i="1" s="1"/>
  <c r="B239" i="1"/>
  <c r="C237" i="1"/>
  <c r="B241" i="1" l="1"/>
  <c r="B240" i="1"/>
  <c r="C239" i="1"/>
  <c r="A239" i="1"/>
  <c r="D239" i="1" s="1"/>
  <c r="C255" i="2"/>
  <c r="A255" i="2"/>
  <c r="D255" i="2" s="1"/>
  <c r="B256" i="2"/>
  <c r="C256" i="2" l="1"/>
  <c r="A256" i="2"/>
  <c r="D256" i="2" s="1"/>
  <c r="B257" i="2"/>
  <c r="B242" i="1"/>
  <c r="C240" i="1"/>
  <c r="A240" i="1"/>
  <c r="D240" i="1" s="1"/>
  <c r="B243" i="1"/>
  <c r="A241" i="1"/>
  <c r="D241" i="1" s="1"/>
  <c r="C241" i="1"/>
  <c r="A243" i="1" l="1"/>
  <c r="D243" i="1" s="1"/>
  <c r="C243" i="1"/>
  <c r="A242" i="1"/>
  <c r="D242" i="1" s="1"/>
  <c r="B244" i="1"/>
  <c r="C242" i="1"/>
  <c r="B258" i="2"/>
  <c r="C257" i="2"/>
  <c r="A257" i="2"/>
  <c r="D257" i="2" s="1"/>
  <c r="C244" i="1" l="1"/>
  <c r="B245" i="1"/>
  <c r="A244" i="1"/>
  <c r="D244" i="1" s="1"/>
  <c r="B259" i="2"/>
  <c r="C258" i="2"/>
  <c r="A258" i="2"/>
  <c r="D258" i="2" s="1"/>
  <c r="A259" i="2" l="1"/>
  <c r="D259" i="2" s="1"/>
  <c r="B260" i="2"/>
  <c r="C259" i="2"/>
  <c r="C245" i="1"/>
  <c r="A245" i="1"/>
  <c r="D245" i="1" s="1"/>
  <c r="B247" i="1"/>
  <c r="B246" i="1"/>
  <c r="B248" i="1" l="1"/>
  <c r="C246" i="1"/>
  <c r="A246" i="1"/>
  <c r="D246" i="1" s="1"/>
  <c r="B249" i="1"/>
  <c r="B250" i="1"/>
  <c r="C247" i="1"/>
  <c r="A247" i="1"/>
  <c r="D247" i="1" s="1"/>
  <c r="B261" i="2"/>
  <c r="C260" i="2"/>
  <c r="A260" i="2"/>
  <c r="D260" i="2" s="1"/>
  <c r="C250" i="1" l="1"/>
  <c r="A250" i="1"/>
  <c r="D250" i="1" s="1"/>
  <c r="B262" i="2"/>
  <c r="C261" i="2"/>
  <c r="A261" i="2"/>
  <c r="D261" i="2" s="1"/>
  <c r="C249" i="1"/>
  <c r="A249" i="1"/>
  <c r="D249" i="1" s="1"/>
  <c r="C248" i="1"/>
  <c r="B252" i="1"/>
  <c r="B251" i="1"/>
  <c r="A248" i="1"/>
  <c r="D248" i="1" s="1"/>
  <c r="C262" i="2" l="1"/>
  <c r="A262" i="2"/>
  <c r="D262" i="2" s="1"/>
  <c r="B263" i="2"/>
  <c r="C252" i="1"/>
  <c r="A252" i="1"/>
  <c r="D252" i="1" s="1"/>
  <c r="B254" i="1"/>
  <c r="B253" i="1"/>
  <c r="C251" i="1"/>
  <c r="A251" i="1"/>
  <c r="D251" i="1" s="1"/>
  <c r="C253" i="1" l="1"/>
  <c r="A253" i="1"/>
  <c r="D253" i="1" s="1"/>
  <c r="B255" i="1"/>
  <c r="C254" i="1"/>
  <c r="A254" i="1"/>
  <c r="D254" i="1" s="1"/>
  <c r="A263" i="2"/>
  <c r="D263" i="2" s="1"/>
  <c r="C263" i="2"/>
  <c r="B264" i="2"/>
  <c r="B265" i="2" l="1"/>
  <c r="C264" i="2"/>
  <c r="A264" i="2"/>
  <c r="D264" i="2" s="1"/>
  <c r="B256" i="1"/>
  <c r="C255" i="1"/>
  <c r="A255" i="1"/>
  <c r="D255" i="1" s="1"/>
  <c r="B257" i="1" l="1"/>
  <c r="C256" i="1"/>
  <c r="A256" i="1"/>
  <c r="D256" i="1" s="1"/>
  <c r="B266" i="2"/>
  <c r="C265" i="2"/>
  <c r="A265" i="2"/>
  <c r="D265" i="2" s="1"/>
  <c r="C266" i="2" l="1"/>
  <c r="A266" i="2"/>
  <c r="D266" i="2" s="1"/>
  <c r="B267" i="2"/>
  <c r="C257" i="1"/>
  <c r="B258" i="1"/>
  <c r="A257" i="1"/>
  <c r="D257" i="1" s="1"/>
  <c r="B260" i="1" l="1"/>
  <c r="B259" i="1"/>
  <c r="C258" i="1"/>
  <c r="A258" i="1"/>
  <c r="D258" i="1" s="1"/>
  <c r="A267" i="2"/>
  <c r="D267" i="2" s="1"/>
  <c r="B268" i="2"/>
  <c r="C267" i="2"/>
  <c r="B269" i="2" l="1"/>
  <c r="C268" i="2"/>
  <c r="A268" i="2"/>
  <c r="D268" i="2" s="1"/>
  <c r="B261" i="1"/>
  <c r="C259" i="1"/>
  <c r="A259" i="1"/>
  <c r="D259" i="1" s="1"/>
  <c r="C260" i="1"/>
  <c r="A260" i="1"/>
  <c r="D260" i="1" s="1"/>
  <c r="C261" i="1" l="1"/>
  <c r="A261" i="1"/>
  <c r="D261" i="1" s="1"/>
  <c r="B262" i="1"/>
  <c r="B270" i="2"/>
  <c r="C269" i="2"/>
  <c r="A269" i="2"/>
  <c r="D269" i="2" s="1"/>
  <c r="C270" i="2" l="1"/>
  <c r="A270" i="2"/>
  <c r="D270" i="2" s="1"/>
  <c r="B271" i="2"/>
  <c r="A262" i="1"/>
  <c r="D262" i="1" s="1"/>
  <c r="B263" i="1"/>
  <c r="C262" i="1"/>
  <c r="B264" i="1" l="1"/>
  <c r="C263" i="1"/>
  <c r="A263" i="1"/>
  <c r="D263" i="1" s="1"/>
  <c r="C271" i="2"/>
  <c r="A271" i="2"/>
  <c r="D271" i="2" s="1"/>
  <c r="B272" i="2"/>
  <c r="B274" i="2" l="1"/>
  <c r="C272" i="2"/>
  <c r="A272" i="2"/>
  <c r="D272" i="2" s="1"/>
  <c r="B265" i="1"/>
  <c r="C264" i="1"/>
  <c r="A264" i="1"/>
  <c r="D264" i="1" s="1"/>
  <c r="A265" i="1" l="1"/>
  <c r="D265" i="1" s="1"/>
  <c r="B266" i="1"/>
  <c r="C265" i="1"/>
  <c r="B275" i="2"/>
  <c r="C274" i="2"/>
  <c r="A274" i="2"/>
  <c r="D274" i="2" s="1"/>
  <c r="C266" i="1" l="1"/>
  <c r="A266" i="1"/>
  <c r="D266" i="1" s="1"/>
  <c r="B267" i="1"/>
  <c r="C275" i="2"/>
  <c r="A275" i="2"/>
  <c r="D275" i="2" s="1"/>
  <c r="B276" i="2"/>
  <c r="B277" i="2" l="1"/>
  <c r="A276" i="2"/>
  <c r="D276" i="2" s="1"/>
  <c r="C276" i="2"/>
  <c r="B268" i="1"/>
  <c r="A267" i="1"/>
  <c r="D267" i="1" s="1"/>
  <c r="C267" i="1"/>
  <c r="B269" i="1" l="1"/>
  <c r="C268" i="1"/>
  <c r="A268" i="1"/>
  <c r="D268" i="1" s="1"/>
  <c r="B278" i="2"/>
  <c r="C277" i="2"/>
  <c r="A277" i="2"/>
  <c r="D277" i="2" s="1"/>
  <c r="B279" i="2" l="1"/>
  <c r="C278" i="2"/>
  <c r="A278" i="2"/>
  <c r="D278" i="2" s="1"/>
  <c r="A269" i="1"/>
  <c r="D269" i="1" s="1"/>
  <c r="B270" i="1"/>
  <c r="C269" i="1"/>
  <c r="B271" i="1" l="1"/>
  <c r="C270" i="1"/>
  <c r="A270" i="1"/>
  <c r="D270" i="1" s="1"/>
  <c r="C279" i="2"/>
  <c r="A279" i="2"/>
  <c r="D279" i="2" s="1"/>
  <c r="B280" i="2"/>
  <c r="B281" i="2" l="1"/>
  <c r="C280" i="2"/>
  <c r="A280" i="2"/>
  <c r="D280" i="2" s="1"/>
  <c r="B272" i="1"/>
  <c r="C271" i="1"/>
  <c r="A271" i="1"/>
  <c r="D271" i="1" s="1"/>
  <c r="A272" i="1" l="1"/>
  <c r="D272" i="1" s="1"/>
  <c r="B273" i="1"/>
  <c r="C272" i="1"/>
  <c r="B282" i="2"/>
  <c r="C281" i="2"/>
  <c r="A281" i="2"/>
  <c r="D281" i="2" s="1"/>
  <c r="A273" i="1" l="1"/>
  <c r="D273" i="1" s="1"/>
  <c r="C273" i="1"/>
  <c r="B274" i="1"/>
  <c r="B284" i="2"/>
  <c r="C282" i="2"/>
  <c r="A282" i="2"/>
  <c r="D282" i="2" s="1"/>
  <c r="C284" i="2" l="1"/>
  <c r="A284" i="2"/>
  <c r="D284" i="2" s="1"/>
  <c r="B285" i="2"/>
  <c r="B275" i="1"/>
  <c r="C274" i="1"/>
  <c r="A274" i="1"/>
  <c r="D274" i="1" s="1"/>
  <c r="B286" i="2" l="1"/>
  <c r="C285" i="2"/>
  <c r="A285" i="2"/>
  <c r="D285" i="2" s="1"/>
  <c r="B276" i="1"/>
  <c r="C275" i="1"/>
  <c r="A275" i="1"/>
  <c r="D275" i="1" s="1"/>
  <c r="A276" i="1" l="1"/>
  <c r="D276" i="1" s="1"/>
  <c r="B277" i="1"/>
  <c r="C276" i="1"/>
  <c r="B287" i="2"/>
  <c r="C286" i="2"/>
  <c r="A286" i="2"/>
  <c r="D286" i="2" s="1"/>
  <c r="A277" i="1" l="1"/>
  <c r="D277" i="1" s="1"/>
  <c r="B278" i="1"/>
  <c r="C277" i="1"/>
  <c r="B288" i="2"/>
  <c r="C287" i="2"/>
  <c r="A287" i="2"/>
  <c r="D287" i="2" s="1"/>
  <c r="A288" i="2" l="1"/>
  <c r="D288" i="2" s="1"/>
  <c r="B289" i="2"/>
  <c r="C288" i="2"/>
  <c r="B279" i="1"/>
  <c r="C278" i="1"/>
  <c r="A278" i="1"/>
  <c r="D278" i="1" s="1"/>
  <c r="C279" i="1" l="1"/>
  <c r="B280" i="1"/>
  <c r="A279" i="1"/>
  <c r="D279" i="1" s="1"/>
  <c r="B290" i="2"/>
  <c r="C289" i="2"/>
  <c r="A289" i="2"/>
  <c r="D289" i="2" s="1"/>
  <c r="B291" i="2" l="1"/>
  <c r="C290" i="2"/>
  <c r="A290" i="2"/>
  <c r="D290" i="2" s="1"/>
  <c r="C280" i="1"/>
  <c r="A280" i="1"/>
  <c r="D280" i="1" s="1"/>
  <c r="B281" i="1"/>
  <c r="B282" i="1" l="1"/>
  <c r="C281" i="1"/>
  <c r="A281" i="1"/>
  <c r="D281" i="1" s="1"/>
  <c r="B292" i="2"/>
  <c r="C291" i="2"/>
  <c r="A291" i="2"/>
  <c r="D291" i="2" s="1"/>
  <c r="A292" i="2" l="1"/>
  <c r="D292" i="2" s="1"/>
  <c r="B293" i="2"/>
  <c r="C292" i="2"/>
  <c r="B283" i="1"/>
  <c r="C282" i="1"/>
  <c r="A282" i="1"/>
  <c r="D282" i="1" s="1"/>
  <c r="C283" i="1" l="1"/>
  <c r="B284" i="1"/>
  <c r="A283" i="1"/>
  <c r="D283" i="1" s="1"/>
  <c r="B294" i="2"/>
  <c r="A293" i="2"/>
  <c r="D293" i="2" s="1"/>
  <c r="C293" i="2"/>
  <c r="B295" i="2" l="1"/>
  <c r="C294" i="2"/>
  <c r="A294" i="2"/>
  <c r="D294" i="2" s="1"/>
  <c r="C284" i="1"/>
  <c r="A284" i="1"/>
  <c r="D284" i="1" s="1"/>
  <c r="B285" i="1"/>
  <c r="C285" i="1" l="1"/>
  <c r="A285" i="1"/>
  <c r="D285" i="1" s="1"/>
  <c r="B286" i="1"/>
  <c r="C295" i="2"/>
  <c r="A295" i="2"/>
  <c r="D295" i="2" s="1"/>
  <c r="B296" i="2"/>
  <c r="A296" i="2" l="1"/>
  <c r="D296" i="2" s="1"/>
  <c r="C296" i="2"/>
  <c r="B297" i="2"/>
  <c r="B287" i="1"/>
  <c r="A286" i="1"/>
  <c r="D286" i="1" s="1"/>
  <c r="C286" i="1"/>
  <c r="C287" i="1" l="1"/>
  <c r="B288" i="1"/>
  <c r="A287" i="1"/>
  <c r="D287" i="1" s="1"/>
  <c r="B298" i="2"/>
  <c r="C297" i="2"/>
  <c r="A297" i="2"/>
  <c r="D297" i="2" s="1"/>
  <c r="B299" i="2" l="1"/>
  <c r="C298" i="2"/>
  <c r="A298" i="2"/>
  <c r="D298" i="2" s="1"/>
  <c r="C288" i="1"/>
  <c r="A288" i="1"/>
  <c r="D288" i="1" s="1"/>
  <c r="B289" i="1"/>
  <c r="B290" i="1" l="1"/>
  <c r="C289" i="1"/>
  <c r="A289" i="1"/>
  <c r="D289" i="1" s="1"/>
  <c r="C299" i="2"/>
  <c r="A299" i="2"/>
  <c r="D299" i="2" s="1"/>
  <c r="B300" i="2"/>
  <c r="B301" i="2" l="1"/>
  <c r="C300" i="2"/>
  <c r="A300" i="2"/>
  <c r="D300" i="2" s="1"/>
  <c r="B291" i="1"/>
  <c r="C290" i="1"/>
  <c r="A290" i="1"/>
  <c r="D290" i="1" s="1"/>
  <c r="C291" i="1" l="1"/>
  <c r="A291" i="1"/>
  <c r="D291" i="1" s="1"/>
  <c r="B292" i="1"/>
  <c r="B302" i="2"/>
  <c r="C301" i="2"/>
  <c r="A301" i="2"/>
  <c r="D301" i="2" s="1"/>
  <c r="B303" i="2" l="1"/>
  <c r="C302" i="2"/>
  <c r="A302" i="2"/>
  <c r="D302" i="2" s="1"/>
  <c r="C292" i="1"/>
  <c r="A292" i="1"/>
  <c r="D292" i="1" s="1"/>
  <c r="B293" i="1"/>
  <c r="A293" i="1" l="1"/>
  <c r="D293" i="1" s="1"/>
  <c r="B294" i="1"/>
  <c r="C293" i="1"/>
  <c r="C303" i="2"/>
  <c r="A303" i="2"/>
  <c r="D303" i="2" s="1"/>
  <c r="B306" i="2"/>
  <c r="B295" i="1" l="1"/>
  <c r="C294" i="1"/>
  <c r="A294" i="1"/>
  <c r="D294" i="1" s="1"/>
  <c r="A306" i="2"/>
  <c r="D306" i="2" s="1"/>
  <c r="B307" i="2"/>
  <c r="C306" i="2"/>
  <c r="B308" i="2" l="1"/>
  <c r="C307" i="2"/>
  <c r="A307" i="2"/>
  <c r="D307" i="2" s="1"/>
  <c r="C295" i="1"/>
  <c r="B296" i="1"/>
  <c r="A295" i="1"/>
  <c r="D295" i="1" s="1"/>
  <c r="C296" i="1" l="1"/>
  <c r="A296" i="1"/>
  <c r="D296" i="1" s="1"/>
  <c r="B297" i="1"/>
  <c r="B298" i="1"/>
  <c r="B309" i="2"/>
  <c r="C308" i="2"/>
  <c r="A308" i="2"/>
  <c r="D308" i="2" s="1"/>
  <c r="B299" i="1" l="1"/>
  <c r="C297" i="1"/>
  <c r="A297" i="1"/>
  <c r="D297" i="1" s="1"/>
  <c r="C309" i="2"/>
  <c r="A309" i="2"/>
  <c r="D309" i="2" s="1"/>
  <c r="B310" i="2"/>
  <c r="A298" i="1"/>
  <c r="D298" i="1" s="1"/>
  <c r="C298" i="1"/>
  <c r="B311" i="2" l="1"/>
  <c r="C310" i="2"/>
  <c r="A310" i="2"/>
  <c r="D310" i="2" s="1"/>
  <c r="B300" i="1"/>
  <c r="C299" i="1"/>
  <c r="A299" i="1"/>
  <c r="D299" i="1" s="1"/>
  <c r="C300" i="1" l="1"/>
  <c r="B301" i="1"/>
  <c r="A300" i="1"/>
  <c r="D300" i="1" s="1"/>
  <c r="B312" i="2"/>
  <c r="C311" i="2"/>
  <c r="A311" i="2"/>
  <c r="D311" i="2" s="1"/>
  <c r="B314" i="2" l="1"/>
  <c r="C312" i="2"/>
  <c r="A312" i="2"/>
  <c r="D312" i="2" s="1"/>
  <c r="B302" i="1"/>
  <c r="C301" i="1"/>
  <c r="A301" i="1"/>
  <c r="D301" i="1" s="1"/>
  <c r="B303" i="1" l="1"/>
  <c r="C302" i="1"/>
  <c r="A302" i="1"/>
  <c r="D302" i="1" s="1"/>
  <c r="C314" i="2"/>
  <c r="A314" i="2"/>
  <c r="D314" i="2" s="1"/>
  <c r="B316" i="2"/>
  <c r="B317" i="2" l="1"/>
  <c r="C316" i="2"/>
  <c r="A316" i="2"/>
  <c r="D316" i="2" s="1"/>
  <c r="B304" i="1"/>
  <c r="C303" i="1"/>
  <c r="A303" i="1"/>
  <c r="D303" i="1" s="1"/>
  <c r="C304" i="1" l="1"/>
  <c r="A304" i="1"/>
  <c r="D304" i="1" s="1"/>
  <c r="B305" i="1"/>
  <c r="B306" i="1"/>
  <c r="B319" i="2"/>
  <c r="C317" i="2"/>
  <c r="A317" i="2"/>
  <c r="D317" i="2" s="1"/>
  <c r="B320" i="2" l="1"/>
  <c r="C319" i="2"/>
  <c r="A319" i="2"/>
  <c r="D319" i="2" s="1"/>
  <c r="C306" i="1"/>
  <c r="A306" i="1"/>
  <c r="D306" i="1" s="1"/>
  <c r="B307" i="1"/>
  <c r="A305" i="1"/>
  <c r="D305" i="1" s="1"/>
  <c r="C305" i="1"/>
  <c r="B308" i="1" l="1"/>
  <c r="C307" i="1"/>
  <c r="A307" i="1"/>
  <c r="D307" i="1" s="1"/>
  <c r="A320" i="2"/>
  <c r="D320" i="2" s="1"/>
  <c r="C320" i="2"/>
  <c r="B321" i="2"/>
  <c r="B322" i="2" l="1"/>
  <c r="C321" i="2"/>
  <c r="A321" i="2"/>
  <c r="D321" i="2" s="1"/>
  <c r="A308" i="1"/>
  <c r="D308" i="1" s="1"/>
  <c r="B309" i="1"/>
  <c r="C308" i="1"/>
  <c r="C309" i="1" l="1"/>
  <c r="A309" i="1"/>
  <c r="D309" i="1" s="1"/>
  <c r="B310" i="1"/>
  <c r="B323" i="2"/>
  <c r="C322" i="2"/>
  <c r="A322" i="2"/>
  <c r="D322" i="2" s="1"/>
  <c r="B324" i="2" l="1"/>
  <c r="C323" i="2"/>
  <c r="A323" i="2"/>
  <c r="D323" i="2" s="1"/>
  <c r="B311" i="1"/>
  <c r="C310" i="1"/>
  <c r="A310" i="1"/>
  <c r="D310" i="1" s="1"/>
  <c r="B312" i="1" l="1"/>
  <c r="C311" i="1"/>
  <c r="A311" i="1"/>
  <c r="D311" i="1" s="1"/>
  <c r="A324" i="2"/>
  <c r="D324" i="2" s="1"/>
  <c r="B325" i="2"/>
  <c r="C324" i="2"/>
  <c r="B326" i="2" l="1"/>
  <c r="C325" i="2"/>
  <c r="A325" i="2"/>
  <c r="D325" i="2" s="1"/>
  <c r="A312" i="1"/>
  <c r="D312" i="1" s="1"/>
  <c r="B313" i="1"/>
  <c r="C312" i="1"/>
  <c r="B314" i="1" l="1"/>
  <c r="C313" i="1"/>
  <c r="A313" i="1"/>
  <c r="D313" i="1" s="1"/>
  <c r="B327" i="2"/>
  <c r="C326" i="2"/>
  <c r="A326" i="2"/>
  <c r="D326" i="2" s="1"/>
  <c r="C327" i="2" l="1"/>
  <c r="A327" i="2"/>
  <c r="D327" i="2" s="1"/>
  <c r="B328" i="2"/>
  <c r="B315" i="1"/>
  <c r="C314" i="1"/>
  <c r="A314" i="1"/>
  <c r="D314" i="1" s="1"/>
  <c r="A328" i="2" l="1"/>
  <c r="D328" i="2" s="1"/>
  <c r="B329" i="2"/>
  <c r="C328" i="2"/>
  <c r="C315" i="1"/>
  <c r="A315" i="1"/>
  <c r="D315" i="1" s="1"/>
  <c r="B316" i="1"/>
  <c r="A316" i="1" l="1"/>
  <c r="D316" i="1" s="1"/>
  <c r="C316" i="1"/>
  <c r="B317" i="1"/>
  <c r="B332" i="2"/>
  <c r="A329" i="2"/>
  <c r="D329" i="2" s="1"/>
  <c r="C329" i="2"/>
  <c r="B333" i="2" l="1"/>
  <c r="C332" i="2"/>
  <c r="A332" i="2"/>
  <c r="D332" i="2" s="1"/>
  <c r="B318" i="1"/>
  <c r="C317" i="1"/>
  <c r="A317" i="1"/>
  <c r="D317" i="1" s="1"/>
  <c r="B319" i="1" l="1"/>
  <c r="C318" i="1"/>
  <c r="A318" i="1"/>
  <c r="D318" i="1" s="1"/>
  <c r="C333" i="2"/>
  <c r="A333" i="2"/>
  <c r="D333" i="2" s="1"/>
  <c r="B335" i="2"/>
  <c r="A335" i="2" l="1"/>
  <c r="D335" i="2" s="1"/>
  <c r="B336" i="2"/>
  <c r="C335" i="2"/>
  <c r="C319" i="1"/>
  <c r="A319" i="1"/>
  <c r="D319" i="1" s="1"/>
  <c r="B320" i="1"/>
  <c r="A320" i="1" l="1"/>
  <c r="D320" i="1" s="1"/>
  <c r="B321" i="1"/>
  <c r="C320" i="1"/>
  <c r="B337" i="2"/>
  <c r="C336" i="2"/>
  <c r="A336" i="2"/>
  <c r="D336" i="2" s="1"/>
  <c r="B338" i="2" l="1"/>
  <c r="C337" i="2"/>
  <c r="A337" i="2"/>
  <c r="D337" i="2" s="1"/>
  <c r="B322" i="1"/>
  <c r="C321" i="1"/>
  <c r="A321" i="1"/>
  <c r="D321" i="1" s="1"/>
  <c r="B323" i="1" l="1"/>
  <c r="C322" i="1"/>
  <c r="A322" i="1"/>
  <c r="D322" i="1" s="1"/>
  <c r="C338" i="2"/>
  <c r="A338" i="2"/>
  <c r="D338" i="2" s="1"/>
  <c r="B339" i="2"/>
  <c r="C339" i="2" l="1"/>
  <c r="A339" i="2"/>
  <c r="D339" i="2" s="1"/>
  <c r="B340" i="2"/>
  <c r="C323" i="1"/>
  <c r="A323" i="1"/>
  <c r="D323" i="1" s="1"/>
  <c r="B325" i="1"/>
  <c r="B324" i="1"/>
  <c r="A324" i="1" l="1"/>
  <c r="D324" i="1" s="1"/>
  <c r="B326" i="1"/>
  <c r="C324" i="1"/>
  <c r="A325" i="1"/>
  <c r="D325" i="1" s="1"/>
  <c r="C325" i="1"/>
  <c r="B342" i="2"/>
  <c r="C340" i="2"/>
  <c r="A340" i="2"/>
  <c r="D340" i="2" s="1"/>
  <c r="B327" i="1" l="1"/>
  <c r="C326" i="1"/>
  <c r="A326" i="1"/>
  <c r="D326" i="1" s="1"/>
  <c r="B343" i="2"/>
  <c r="C342" i="2"/>
  <c r="A342" i="2"/>
  <c r="D342" i="2" s="1"/>
  <c r="C343" i="2" l="1"/>
  <c r="A343" i="2"/>
  <c r="D343" i="2" s="1"/>
  <c r="B344" i="2"/>
  <c r="C327" i="1"/>
  <c r="A327" i="1"/>
  <c r="D327" i="1" s="1"/>
  <c r="B328" i="1"/>
  <c r="A328" i="1" s="1"/>
  <c r="D328" i="1" s="1"/>
  <c r="B329" i="1"/>
  <c r="C328" i="1"/>
  <c r="B330" i="1" l="1"/>
  <c r="C329" i="1"/>
  <c r="A329" i="1"/>
  <c r="D329" i="1" s="1"/>
  <c r="B345" i="2"/>
  <c r="A344" i="2"/>
  <c r="D344" i="2" s="1"/>
  <c r="C344" i="2"/>
  <c r="B346" i="2" l="1"/>
  <c r="C345" i="2"/>
  <c r="A345" i="2"/>
  <c r="D345" i="2" s="1"/>
  <c r="B331" i="1"/>
  <c r="C330" i="1"/>
  <c r="A330" i="1"/>
  <c r="D330" i="1" s="1"/>
  <c r="C331" i="1" l="1"/>
  <c r="A331" i="1"/>
  <c r="D331" i="1" s="1"/>
  <c r="B332" i="1"/>
  <c r="B347" i="2"/>
  <c r="C346" i="2"/>
  <c r="A346" i="2"/>
  <c r="D346" i="2" s="1"/>
  <c r="C347" i="2" l="1"/>
  <c r="A347" i="2"/>
  <c r="D347" i="2" s="1"/>
  <c r="B348" i="2"/>
  <c r="B333" i="1"/>
  <c r="C332" i="1"/>
  <c r="A332" i="1"/>
  <c r="D332" i="1" s="1"/>
  <c r="B334" i="1" l="1"/>
  <c r="A333" i="1"/>
  <c r="D333" i="1" s="1"/>
  <c r="C333" i="1"/>
  <c r="B350" i="2"/>
  <c r="C348" i="2"/>
  <c r="A348" i="2"/>
  <c r="D348" i="2" s="1"/>
  <c r="B351" i="2" l="1"/>
  <c r="C350" i="2"/>
  <c r="A350" i="2"/>
  <c r="D350" i="2" s="1"/>
  <c r="B335" i="1"/>
  <c r="C334" i="1"/>
  <c r="A334" i="1"/>
  <c r="D334" i="1" s="1"/>
  <c r="C335" i="1" l="1"/>
  <c r="A335" i="1"/>
  <c r="D335" i="1" s="1"/>
  <c r="B336" i="1"/>
  <c r="B354" i="2"/>
  <c r="C351" i="2"/>
  <c r="A351" i="2"/>
  <c r="D351" i="2" s="1"/>
  <c r="A354" i="2" l="1"/>
  <c r="D354" i="2" s="1"/>
  <c r="C354" i="2"/>
  <c r="B355" i="2"/>
  <c r="A336" i="1"/>
  <c r="D336" i="1" s="1"/>
  <c r="C336" i="1"/>
  <c r="B337" i="1"/>
  <c r="B338" i="1" l="1"/>
  <c r="C337" i="1"/>
  <c r="A337" i="1"/>
  <c r="D337" i="1" s="1"/>
  <c r="B356" i="2"/>
  <c r="C355" i="2"/>
  <c r="A355" i="2"/>
  <c r="D355" i="2" s="1"/>
  <c r="B357" i="2" l="1"/>
  <c r="C356" i="2"/>
  <c r="A356" i="2"/>
  <c r="D356" i="2" s="1"/>
  <c r="B339" i="1"/>
  <c r="C338" i="1"/>
  <c r="A338" i="1"/>
  <c r="D338" i="1" s="1"/>
  <c r="C339" i="1" l="1"/>
  <c r="A339" i="1"/>
  <c r="D339" i="1" s="1"/>
  <c r="B340" i="1"/>
  <c r="B358" i="2"/>
  <c r="C357" i="2"/>
  <c r="A357" i="2"/>
  <c r="D357" i="2" s="1"/>
  <c r="A358" i="2" l="1"/>
  <c r="D358" i="2" s="1"/>
  <c r="B359" i="2"/>
  <c r="C358" i="2"/>
  <c r="B341" i="1"/>
  <c r="C340" i="1"/>
  <c r="A340" i="1"/>
  <c r="D340" i="1" s="1"/>
  <c r="B360" i="2" l="1"/>
  <c r="C359" i="2"/>
  <c r="A359" i="2"/>
  <c r="D359" i="2" s="1"/>
  <c r="B342" i="1"/>
  <c r="C341" i="1"/>
  <c r="A341" i="1"/>
  <c r="D341" i="1" s="1"/>
  <c r="C342" i="1" l="1"/>
  <c r="B343" i="1"/>
  <c r="A342" i="1"/>
  <c r="D342" i="1" s="1"/>
  <c r="B361" i="2"/>
  <c r="C360" i="2"/>
  <c r="A360" i="2"/>
  <c r="D360" i="2" s="1"/>
  <c r="C361" i="2" l="1"/>
  <c r="A361" i="2"/>
  <c r="D361" i="2" s="1"/>
  <c r="B362" i="2"/>
  <c r="C343" i="1"/>
  <c r="B344" i="1"/>
  <c r="A343" i="1"/>
  <c r="D343" i="1" s="1"/>
  <c r="B345" i="1"/>
  <c r="A345" i="1" l="1"/>
  <c r="D345" i="1" s="1"/>
  <c r="C345" i="1"/>
  <c r="C344" i="1"/>
  <c r="B346" i="1"/>
  <c r="A344" i="1"/>
  <c r="D344" i="1" s="1"/>
  <c r="C362" i="2"/>
  <c r="A362" i="2"/>
  <c r="D362" i="2" s="1"/>
  <c r="B363" i="2"/>
  <c r="B364" i="2" l="1"/>
  <c r="C363" i="2"/>
  <c r="A363" i="2"/>
  <c r="D363" i="2" s="1"/>
  <c r="B347" i="1"/>
  <c r="C346" i="1"/>
  <c r="A346" i="1"/>
  <c r="D346" i="1" s="1"/>
  <c r="B348" i="1" l="1"/>
  <c r="C347" i="1"/>
  <c r="A347" i="1"/>
  <c r="D347" i="1" s="1"/>
  <c r="B367" i="2"/>
  <c r="C364" i="2"/>
  <c r="A364" i="2"/>
  <c r="D364" i="2" s="1"/>
  <c r="C367" i="2" l="1"/>
  <c r="A367" i="2"/>
  <c r="D367" i="2" s="1"/>
  <c r="B368" i="2"/>
  <c r="A348" i="1"/>
  <c r="D348" i="1" s="1"/>
  <c r="B350" i="1"/>
  <c r="B349" i="1"/>
  <c r="C348" i="1"/>
  <c r="C368" i="2" l="1"/>
  <c r="A368" i="2"/>
  <c r="D368" i="2" s="1"/>
  <c r="B370" i="2"/>
  <c r="A350" i="1"/>
  <c r="D350" i="1" s="1"/>
  <c r="C350" i="1"/>
  <c r="B351" i="1"/>
  <c r="C349" i="1"/>
  <c r="A349" i="1"/>
  <c r="D349" i="1" s="1"/>
  <c r="B352" i="1" l="1"/>
  <c r="C351" i="1"/>
  <c r="B355" i="1"/>
  <c r="A351" i="1"/>
  <c r="D351" i="1" s="1"/>
  <c r="B354" i="1"/>
  <c r="B353" i="1"/>
  <c r="B372" i="2"/>
  <c r="C370" i="2"/>
  <c r="A370" i="2"/>
  <c r="D370" i="2" s="1"/>
  <c r="C355" i="1" l="1"/>
  <c r="A355" i="1"/>
  <c r="D355" i="1" s="1"/>
  <c r="B373" i="2"/>
  <c r="C372" i="2"/>
  <c r="A372" i="2"/>
  <c r="D372" i="2" s="1"/>
  <c r="C353" i="1"/>
  <c r="A353" i="1"/>
  <c r="D353" i="1" s="1"/>
  <c r="C354" i="1"/>
  <c r="A354" i="1"/>
  <c r="D354" i="1" s="1"/>
  <c r="B356" i="1"/>
  <c r="A352" i="1"/>
  <c r="D352" i="1" s="1"/>
  <c r="B357" i="1"/>
  <c r="C352" i="1"/>
  <c r="C357" i="1" l="1"/>
  <c r="A357" i="1"/>
  <c r="D357" i="1" s="1"/>
  <c r="A356" i="1"/>
  <c r="D356" i="1" s="1"/>
  <c r="C356" i="1"/>
  <c r="B358" i="1"/>
  <c r="C373" i="2"/>
  <c r="A373" i="2"/>
  <c r="D373" i="2" s="1"/>
  <c r="B374" i="2"/>
  <c r="B359" i="1" l="1"/>
  <c r="C358" i="1"/>
  <c r="A358" i="1"/>
  <c r="D358" i="1" s="1"/>
  <c r="B375" i="2"/>
  <c r="C374" i="2"/>
  <c r="A374" i="2"/>
  <c r="D374" i="2" s="1"/>
  <c r="B378" i="2" l="1"/>
  <c r="C375" i="2"/>
  <c r="A375" i="2"/>
  <c r="D375" i="2" s="1"/>
  <c r="C359" i="1"/>
  <c r="A359" i="1"/>
  <c r="D359" i="1" s="1"/>
  <c r="B361" i="1"/>
  <c r="B360" i="1"/>
  <c r="C361" i="1" l="1"/>
  <c r="A361" i="1"/>
  <c r="D361" i="1" s="1"/>
  <c r="A360" i="1"/>
  <c r="D360" i="1" s="1"/>
  <c r="B363" i="1"/>
  <c r="B364" i="1"/>
  <c r="B362" i="1"/>
  <c r="C360" i="1"/>
  <c r="B379" i="2"/>
  <c r="C378" i="2"/>
  <c r="A378" i="2"/>
  <c r="D378" i="2" s="1"/>
  <c r="C363" i="1" l="1"/>
  <c r="A363" i="1"/>
  <c r="D363" i="1" s="1"/>
  <c r="A364" i="1"/>
  <c r="D364" i="1" s="1"/>
  <c r="C364" i="1"/>
  <c r="C362" i="1"/>
  <c r="A362" i="1"/>
  <c r="D362" i="1" s="1"/>
  <c r="B365" i="1"/>
  <c r="B366" i="1"/>
  <c r="C379" i="2"/>
  <c r="A379" i="2"/>
  <c r="D379" i="2" s="1"/>
  <c r="B381" i="2"/>
  <c r="B382" i="2" l="1"/>
  <c r="A381" i="2"/>
  <c r="D381" i="2" s="1"/>
  <c r="C381" i="2"/>
  <c r="C366" i="1"/>
  <c r="A366" i="1"/>
  <c r="D366" i="1" s="1"/>
  <c r="B367" i="1"/>
  <c r="C365" i="1"/>
  <c r="A365" i="1"/>
  <c r="D365" i="1" s="1"/>
  <c r="B369" i="1"/>
  <c r="B368" i="1"/>
  <c r="C369" i="1" l="1"/>
  <c r="A369" i="1"/>
  <c r="D369" i="1" s="1"/>
  <c r="A368" i="1"/>
  <c r="D368" i="1" s="1"/>
  <c r="C368" i="1"/>
  <c r="C367" i="1"/>
  <c r="B371" i="1"/>
  <c r="A367" i="1"/>
  <c r="D367" i="1" s="1"/>
  <c r="B370" i="1"/>
  <c r="B383" i="2"/>
  <c r="C382" i="2"/>
  <c r="A382" i="2"/>
  <c r="D382" i="2" s="1"/>
  <c r="B384" i="2" l="1"/>
  <c r="C383" i="2"/>
  <c r="A383" i="2"/>
  <c r="D383" i="2" s="1"/>
  <c r="C370" i="1"/>
  <c r="A370" i="1"/>
  <c r="D370" i="1" s="1"/>
  <c r="B372" i="1"/>
  <c r="C371" i="1"/>
  <c r="A371" i="1"/>
  <c r="D371" i="1" s="1"/>
  <c r="B373" i="1" l="1"/>
  <c r="C372" i="1"/>
  <c r="A372" i="1"/>
  <c r="D372" i="1" s="1"/>
  <c r="A384" i="2"/>
  <c r="D384" i="2" s="1"/>
  <c r="B385" i="2"/>
  <c r="C384" i="2"/>
  <c r="B387" i="2" l="1"/>
  <c r="C385" i="2"/>
  <c r="A385" i="2"/>
  <c r="D385" i="2" s="1"/>
  <c r="B375" i="1"/>
  <c r="B374" i="1"/>
  <c r="A373" i="1"/>
  <c r="D373" i="1" s="1"/>
  <c r="C373" i="1"/>
  <c r="C375" i="1" l="1"/>
  <c r="A375" i="1"/>
  <c r="D375" i="1" s="1"/>
  <c r="C374" i="1"/>
  <c r="B377" i="1"/>
  <c r="A374" i="1"/>
  <c r="D374" i="1" s="1"/>
  <c r="B376" i="1"/>
  <c r="B388" i="2"/>
  <c r="C387" i="2"/>
  <c r="A387" i="2"/>
  <c r="D387" i="2" s="1"/>
  <c r="B390" i="2" l="1"/>
  <c r="C388" i="2"/>
  <c r="A388" i="2"/>
  <c r="D388" i="2" s="1"/>
  <c r="B379" i="1"/>
  <c r="B378" i="1"/>
  <c r="C376" i="1"/>
  <c r="A376" i="1"/>
  <c r="D376" i="1" s="1"/>
  <c r="C377" i="1"/>
  <c r="A377" i="1"/>
  <c r="D377" i="1" s="1"/>
  <c r="C379" i="1" l="1"/>
  <c r="A379" i="1"/>
  <c r="D379" i="1" s="1"/>
  <c r="C378" i="1"/>
  <c r="B382" i="1"/>
  <c r="B381" i="1"/>
  <c r="B380" i="1"/>
  <c r="A378" i="1"/>
  <c r="D378" i="1" s="1"/>
  <c r="A390" i="2"/>
  <c r="D390" i="2" s="1"/>
  <c r="B391" i="2"/>
  <c r="C390" i="2"/>
  <c r="A381" i="1" l="1"/>
  <c r="D381" i="1" s="1"/>
  <c r="C381" i="1"/>
  <c r="B392" i="2"/>
  <c r="C391" i="2"/>
  <c r="A391" i="2"/>
  <c r="D391" i="2" s="1"/>
  <c r="B383" i="1"/>
  <c r="C380" i="1"/>
  <c r="A380" i="1"/>
  <c r="D380" i="1" s="1"/>
  <c r="B384" i="1"/>
  <c r="C382" i="1"/>
  <c r="A382" i="1"/>
  <c r="D382" i="1" s="1"/>
  <c r="C383" i="1" l="1"/>
  <c r="A383" i="1"/>
  <c r="D383" i="1" s="1"/>
  <c r="B385" i="1"/>
  <c r="B393" i="2"/>
  <c r="C392" i="2"/>
  <c r="A392" i="2"/>
  <c r="D392" i="2" s="1"/>
  <c r="C384" i="1"/>
  <c r="A384" i="1"/>
  <c r="D384" i="1" s="1"/>
  <c r="C393" i="2" l="1"/>
  <c r="A393" i="2"/>
  <c r="D393" i="2" s="1"/>
  <c r="B395" i="2"/>
  <c r="B386" i="1"/>
  <c r="C385" i="1"/>
  <c r="A385" i="1"/>
  <c r="D385" i="1" s="1"/>
  <c r="B387" i="1" l="1"/>
  <c r="C386" i="1"/>
  <c r="A386" i="1"/>
  <c r="D386" i="1" s="1"/>
  <c r="B388" i="1"/>
  <c r="A395" i="2"/>
  <c r="D395" i="2" s="1"/>
  <c r="B398" i="2"/>
  <c r="C395" i="2"/>
  <c r="B399" i="2" l="1"/>
  <c r="A398" i="2"/>
  <c r="D398" i="2" s="1"/>
  <c r="C398" i="2"/>
  <c r="C388" i="1"/>
  <c r="A388" i="1"/>
  <c r="D388" i="1" s="1"/>
  <c r="C387" i="1"/>
  <c r="A387" i="1"/>
  <c r="D387" i="1" s="1"/>
  <c r="B390" i="1"/>
  <c r="B389" i="1"/>
  <c r="C390" i="1" l="1"/>
  <c r="A390" i="1"/>
  <c r="D390" i="1" s="1"/>
  <c r="B391" i="1"/>
  <c r="C389" i="1"/>
  <c r="A389" i="1"/>
  <c r="D389" i="1" s="1"/>
  <c r="B401" i="2"/>
  <c r="C399" i="2"/>
  <c r="A399" i="2"/>
  <c r="D399" i="2" s="1"/>
  <c r="C401" i="2" l="1"/>
  <c r="A401" i="2"/>
  <c r="D401" i="2" s="1"/>
  <c r="B402" i="2"/>
  <c r="C391" i="1"/>
  <c r="A391" i="1"/>
  <c r="D391" i="1" s="1"/>
  <c r="B394" i="1"/>
  <c r="B393" i="1"/>
  <c r="B392" i="1"/>
  <c r="C393" i="1" l="1"/>
  <c r="A393" i="1"/>
  <c r="D393" i="1" s="1"/>
  <c r="C394" i="1"/>
  <c r="A394" i="1"/>
  <c r="D394" i="1" s="1"/>
  <c r="B395" i="1"/>
  <c r="B396" i="1"/>
  <c r="A392" i="1"/>
  <c r="D392" i="1" s="1"/>
  <c r="C392" i="1"/>
  <c r="B403" i="2"/>
  <c r="C402" i="2"/>
  <c r="A402" i="2"/>
  <c r="D402" i="2" s="1"/>
  <c r="C396" i="1" l="1"/>
  <c r="A396" i="1"/>
  <c r="D396" i="1" s="1"/>
  <c r="B404" i="2"/>
  <c r="C403" i="2"/>
  <c r="A403" i="2"/>
  <c r="D403" i="2" s="1"/>
  <c r="C395" i="1"/>
  <c r="A395" i="1"/>
  <c r="D395" i="1" s="1"/>
  <c r="B397" i="1"/>
  <c r="B398" i="1" l="1"/>
  <c r="A397" i="1"/>
  <c r="D397" i="1" s="1"/>
  <c r="C397" i="1"/>
  <c r="B405" i="2"/>
  <c r="C404" i="2"/>
  <c r="A404" i="2"/>
  <c r="D404" i="2" s="1"/>
  <c r="C405" i="2" l="1"/>
  <c r="A405" i="2"/>
  <c r="D405" i="2" s="1"/>
  <c r="B407" i="2"/>
  <c r="B399" i="1"/>
  <c r="C398" i="1"/>
  <c r="A398" i="1"/>
  <c r="D398" i="1" s="1"/>
  <c r="A399" i="1" l="1"/>
  <c r="D399" i="1" s="1"/>
  <c r="B401" i="1"/>
  <c r="B400" i="1"/>
  <c r="C399" i="1"/>
  <c r="C407" i="2"/>
  <c r="A407" i="2"/>
  <c r="D407" i="2" s="1"/>
  <c r="B408" i="2"/>
  <c r="B410" i="2" l="1"/>
  <c r="C408" i="2"/>
  <c r="A408" i="2"/>
  <c r="D408" i="2" s="1"/>
  <c r="C401" i="1"/>
  <c r="A401" i="1"/>
  <c r="D401" i="1" s="1"/>
  <c r="B403" i="1"/>
  <c r="B402" i="1"/>
  <c r="B404" i="1"/>
  <c r="C400" i="1"/>
  <c r="A400" i="1"/>
  <c r="D400" i="1" s="1"/>
  <c r="A403" i="1" l="1"/>
  <c r="D403" i="1" s="1"/>
  <c r="C403" i="1"/>
  <c r="C402" i="1"/>
  <c r="B406" i="1"/>
  <c r="A402" i="1"/>
  <c r="D402" i="1" s="1"/>
  <c r="B405" i="1"/>
  <c r="C404" i="1"/>
  <c r="A404" i="1"/>
  <c r="D404" i="1" s="1"/>
  <c r="B411" i="2"/>
  <c r="C410" i="2"/>
  <c r="A410" i="2"/>
  <c r="D410" i="2" s="1"/>
  <c r="B407" i="1" l="1"/>
  <c r="C405" i="1"/>
  <c r="A405" i="1"/>
  <c r="D405" i="1" s="1"/>
  <c r="B408" i="1"/>
  <c r="C406" i="1"/>
  <c r="A406" i="1"/>
  <c r="D406" i="1" s="1"/>
  <c r="C411" i="2"/>
  <c r="A411" i="2"/>
  <c r="D411" i="2" s="1"/>
  <c r="B412" i="2"/>
  <c r="B413" i="2" l="1"/>
  <c r="C412" i="2"/>
  <c r="A412" i="2"/>
  <c r="D412" i="2" s="1"/>
  <c r="A408" i="1"/>
  <c r="D408" i="1" s="1"/>
  <c r="C408" i="1"/>
  <c r="A407" i="1"/>
  <c r="D407" i="1" s="1"/>
  <c r="B409" i="1"/>
  <c r="C407" i="1"/>
  <c r="B410" i="1" l="1"/>
  <c r="C409" i="1"/>
  <c r="A409" i="1"/>
  <c r="D409" i="1" s="1"/>
  <c r="B414" i="2"/>
  <c r="C413" i="2"/>
  <c r="A413" i="2"/>
  <c r="D413" i="2" s="1"/>
  <c r="B416" i="2" l="1"/>
  <c r="C414" i="2"/>
  <c r="A414" i="2"/>
  <c r="D414" i="2" s="1"/>
  <c r="C410" i="1"/>
  <c r="A410" i="1"/>
  <c r="D410" i="1" s="1"/>
  <c r="B411" i="1"/>
  <c r="A411" i="1" l="1"/>
  <c r="D411" i="1" s="1"/>
  <c r="B412" i="1"/>
  <c r="C411" i="1"/>
  <c r="B413" i="1"/>
  <c r="C416" i="2"/>
  <c r="A416" i="2"/>
  <c r="D416" i="2" s="1"/>
  <c r="B417" i="2"/>
  <c r="B420" i="2" l="1"/>
  <c r="C417" i="2"/>
  <c r="A417" i="2"/>
  <c r="D417" i="2" s="1"/>
  <c r="C413" i="1"/>
  <c r="A413" i="1"/>
  <c r="D413" i="1" s="1"/>
  <c r="B414" i="1"/>
  <c r="C412" i="1"/>
  <c r="A412" i="1"/>
  <c r="D412" i="1" s="1"/>
  <c r="C414" i="1" l="1"/>
  <c r="B418" i="1"/>
  <c r="A414" i="1"/>
  <c r="D414" i="1" s="1"/>
  <c r="B417" i="1"/>
  <c r="B416" i="1"/>
  <c r="B415" i="1"/>
  <c r="B422" i="2"/>
  <c r="C420" i="2"/>
  <c r="A420" i="2"/>
  <c r="D420" i="2" s="1"/>
  <c r="B423" i="2" l="1"/>
  <c r="C422" i="2"/>
  <c r="A422" i="2"/>
  <c r="D422" i="2" s="1"/>
  <c r="A415" i="1"/>
  <c r="D415" i="1" s="1"/>
  <c r="B420" i="1"/>
  <c r="B419" i="1"/>
  <c r="C415" i="1"/>
  <c r="C417" i="1"/>
  <c r="A417" i="1"/>
  <c r="D417" i="1" s="1"/>
  <c r="C416" i="1"/>
  <c r="A416" i="1"/>
  <c r="D416" i="1" s="1"/>
  <c r="C418" i="1"/>
  <c r="A418" i="1"/>
  <c r="D418" i="1" s="1"/>
  <c r="A419" i="1" l="1"/>
  <c r="D419" i="1" s="1"/>
  <c r="B421" i="1"/>
  <c r="C419" i="1"/>
  <c r="C420" i="1"/>
  <c r="A420" i="1"/>
  <c r="D420" i="1" s="1"/>
  <c r="A423" i="2"/>
  <c r="D423" i="2" s="1"/>
  <c r="B424" i="2"/>
  <c r="C423" i="2"/>
  <c r="B425" i="2" l="1"/>
  <c r="A424" i="2"/>
  <c r="D424" i="2" s="1"/>
  <c r="C424" i="2"/>
  <c r="B422" i="1"/>
  <c r="C421" i="1"/>
  <c r="A421" i="1"/>
  <c r="D421" i="1" s="1"/>
  <c r="C422" i="1" l="1"/>
  <c r="A422" i="1"/>
  <c r="D422" i="1" s="1"/>
  <c r="B425" i="1"/>
  <c r="B424" i="1"/>
  <c r="B423" i="1"/>
  <c r="B427" i="2"/>
  <c r="C425" i="2"/>
  <c r="A425" i="2"/>
  <c r="D425" i="2" s="1"/>
  <c r="C424" i="1" l="1"/>
  <c r="A424" i="1"/>
  <c r="D424" i="1" s="1"/>
  <c r="B428" i="2"/>
  <c r="C427" i="2"/>
  <c r="A427" i="2"/>
  <c r="D427" i="2" s="1"/>
  <c r="C425" i="1"/>
  <c r="A425" i="1"/>
  <c r="D425" i="1" s="1"/>
  <c r="B426" i="1"/>
  <c r="B427" i="1"/>
  <c r="C423" i="1"/>
  <c r="A423" i="1"/>
  <c r="D423" i="1" s="1"/>
  <c r="B428" i="1"/>
  <c r="C427" i="1" l="1"/>
  <c r="A427" i="1"/>
  <c r="D427" i="1" s="1"/>
  <c r="A428" i="1"/>
  <c r="D428" i="1" s="1"/>
  <c r="C428" i="1"/>
  <c r="C426" i="1"/>
  <c r="A426" i="1"/>
  <c r="D426" i="1" s="1"/>
  <c r="B429" i="1"/>
  <c r="A428" i="2"/>
  <c r="D428" i="2" s="1"/>
  <c r="B430" i="2"/>
  <c r="C428" i="2"/>
  <c r="B431" i="2" l="1"/>
  <c r="C430" i="2"/>
  <c r="A430" i="2"/>
  <c r="D430" i="2" s="1"/>
  <c r="B430" i="1"/>
  <c r="C429" i="1"/>
  <c r="A429" i="1"/>
  <c r="D429" i="1" s="1"/>
  <c r="B431" i="1"/>
  <c r="C431" i="1" l="1"/>
  <c r="A431" i="1"/>
  <c r="D431" i="1" s="1"/>
  <c r="C430" i="1"/>
  <c r="A430" i="1"/>
  <c r="D430" i="1" s="1"/>
  <c r="B432" i="1"/>
  <c r="B432" i="2"/>
  <c r="C431" i="2"/>
  <c r="A431" i="2"/>
  <c r="D431" i="2" s="1"/>
  <c r="C432" i="2" l="1"/>
  <c r="A432" i="2"/>
  <c r="D432" i="2" s="1"/>
  <c r="B433" i="2"/>
  <c r="B433" i="1"/>
  <c r="C432" i="1"/>
  <c r="A432" i="1"/>
  <c r="D432" i="1" s="1"/>
  <c r="B434" i="1" l="1"/>
  <c r="C433" i="1"/>
  <c r="A433" i="1"/>
  <c r="D433" i="1" s="1"/>
  <c r="A433" i="2"/>
  <c r="D433" i="2" s="1"/>
  <c r="C433" i="2"/>
  <c r="B434" i="2"/>
  <c r="B436" i="2" l="1"/>
  <c r="C434" i="2"/>
  <c r="A434" i="2"/>
  <c r="D434" i="2" s="1"/>
  <c r="C434" i="1"/>
  <c r="A434" i="1"/>
  <c r="D434" i="1" s="1"/>
  <c r="B435" i="1"/>
  <c r="B437" i="1" l="1"/>
  <c r="C435" i="1"/>
  <c r="A435" i="1"/>
  <c r="D435" i="1" s="1"/>
  <c r="B436" i="1"/>
  <c r="B437" i="2"/>
  <c r="C436" i="2"/>
  <c r="A436" i="2"/>
  <c r="D436" i="2" s="1"/>
  <c r="C437" i="2" l="1"/>
  <c r="A437" i="2"/>
  <c r="D437" i="2" s="1"/>
  <c r="B439" i="2"/>
  <c r="B438" i="1"/>
  <c r="C436" i="1"/>
  <c r="A436" i="1"/>
  <c r="D436" i="1" s="1"/>
  <c r="C437" i="1"/>
  <c r="A437" i="1"/>
  <c r="D437" i="1" s="1"/>
  <c r="A439" i="2" l="1"/>
  <c r="D439" i="2" s="1"/>
  <c r="B440" i="2"/>
  <c r="C439" i="2"/>
  <c r="C438" i="1"/>
  <c r="A438" i="1"/>
  <c r="D438" i="1" s="1"/>
  <c r="B441" i="1"/>
  <c r="B440" i="1"/>
  <c r="B439" i="1"/>
  <c r="B442" i="1" l="1"/>
  <c r="B443" i="1"/>
  <c r="C439" i="1"/>
  <c r="A439" i="1"/>
  <c r="D439" i="1" s="1"/>
  <c r="C440" i="1"/>
  <c r="A440" i="1"/>
  <c r="D440" i="1" s="1"/>
  <c r="C441" i="1"/>
  <c r="A441" i="1"/>
  <c r="D441" i="1" s="1"/>
  <c r="B441" i="2"/>
  <c r="C440" i="2"/>
  <c r="A440" i="2"/>
  <c r="D440" i="2" s="1"/>
  <c r="B442" i="2" l="1"/>
  <c r="C441" i="2"/>
  <c r="A441" i="2"/>
  <c r="D441" i="2" s="1"/>
  <c r="C443" i="1"/>
  <c r="A443" i="1"/>
  <c r="D443" i="1" s="1"/>
  <c r="C442" i="1"/>
  <c r="A442" i="1"/>
  <c r="D442" i="1" s="1"/>
  <c r="B444" i="1"/>
  <c r="B445" i="1" l="1"/>
  <c r="C444" i="1"/>
  <c r="A444" i="1"/>
  <c r="D444" i="1" s="1"/>
  <c r="C442" i="2"/>
  <c r="A442" i="2"/>
  <c r="D442" i="2" s="1"/>
  <c r="B443" i="2"/>
  <c r="B445" i="2" l="1"/>
  <c r="C443" i="2"/>
  <c r="A443" i="2"/>
  <c r="D443" i="2" s="1"/>
  <c r="B446" i="1"/>
  <c r="C445" i="1"/>
  <c r="A445" i="1"/>
  <c r="D445" i="1" s="1"/>
  <c r="A446" i="1" l="1"/>
  <c r="D446" i="1" s="1"/>
  <c r="B448" i="1"/>
  <c r="C446" i="1"/>
  <c r="B447" i="1"/>
  <c r="B446" i="2"/>
  <c r="C445" i="2"/>
  <c r="A445" i="2"/>
  <c r="D445" i="2" s="1"/>
  <c r="B448" i="2" l="1"/>
  <c r="C446" i="2"/>
  <c r="A446" i="2"/>
  <c r="D446" i="2" s="1"/>
  <c r="B449" i="1"/>
  <c r="C447" i="1"/>
  <c r="A447" i="1"/>
  <c r="D447" i="1" s="1"/>
  <c r="C448" i="1"/>
  <c r="A448" i="1"/>
  <c r="D448" i="1" s="1"/>
  <c r="B450" i="1" l="1"/>
  <c r="C449" i="1"/>
  <c r="A449" i="1"/>
  <c r="D449" i="1" s="1"/>
  <c r="B451" i="1"/>
  <c r="C448" i="2"/>
  <c r="A448" i="2"/>
  <c r="D448" i="2" s="1"/>
  <c r="B451" i="2"/>
  <c r="B452" i="2" l="1"/>
  <c r="C451" i="2"/>
  <c r="A451" i="2"/>
  <c r="D451" i="2" s="1"/>
  <c r="C451" i="1"/>
  <c r="A451" i="1"/>
  <c r="D451" i="1" s="1"/>
  <c r="A450" i="1"/>
  <c r="D450" i="1" s="1"/>
  <c r="B452" i="1"/>
  <c r="C450" i="1"/>
  <c r="B453" i="1" l="1"/>
  <c r="C452" i="1"/>
  <c r="A452" i="1"/>
  <c r="D452" i="1" s="1"/>
  <c r="B453" i="2"/>
  <c r="C452" i="2"/>
  <c r="A452" i="2"/>
  <c r="D452" i="2" s="1"/>
  <c r="B455" i="2" l="1"/>
  <c r="C453" i="2"/>
  <c r="A453" i="2"/>
  <c r="D453" i="2" s="1"/>
  <c r="C453" i="1"/>
  <c r="A453" i="1"/>
  <c r="D453" i="1" s="1"/>
  <c r="B454" i="1"/>
  <c r="A454" i="1" l="1"/>
  <c r="D454" i="1" s="1"/>
  <c r="B455" i="1"/>
  <c r="C454" i="1"/>
  <c r="C455" i="2"/>
  <c r="A455" i="2"/>
  <c r="D455" i="2" s="1"/>
  <c r="B457" i="2"/>
  <c r="B458" i="2" l="1"/>
  <c r="A457" i="2"/>
  <c r="D457" i="2" s="1"/>
  <c r="C457" i="2"/>
  <c r="B457" i="1"/>
  <c r="B456" i="1"/>
  <c r="C455" i="1"/>
  <c r="A455" i="1"/>
  <c r="D455" i="1" s="1"/>
  <c r="C456" i="1" l="1"/>
  <c r="A456" i="1"/>
  <c r="D456" i="1" s="1"/>
  <c r="B458" i="1"/>
  <c r="C457" i="1"/>
  <c r="A457" i="1"/>
  <c r="D457" i="1" s="1"/>
  <c r="B460" i="2"/>
  <c r="C458" i="2"/>
  <c r="A458" i="2"/>
  <c r="D458" i="2" s="1"/>
  <c r="B461" i="2" l="1"/>
  <c r="C460" i="2"/>
  <c r="A460" i="2"/>
  <c r="D460" i="2" s="1"/>
  <c r="A458" i="1"/>
  <c r="D458" i="1" s="1"/>
  <c r="C458" i="1"/>
  <c r="B460" i="1"/>
  <c r="B459" i="1"/>
  <c r="B461" i="1" l="1"/>
  <c r="A459" i="1"/>
  <c r="D459" i="1" s="1"/>
  <c r="C459" i="1"/>
  <c r="C460" i="1"/>
  <c r="A460" i="1"/>
  <c r="D460" i="1" s="1"/>
  <c r="A461" i="2"/>
  <c r="D461" i="2" s="1"/>
  <c r="B462" i="2"/>
  <c r="C461" i="2"/>
  <c r="B463" i="2" l="1"/>
  <c r="A462" i="2"/>
  <c r="D462" i="2" s="1"/>
  <c r="C462" i="2"/>
  <c r="C461" i="1"/>
  <c r="A461" i="1"/>
  <c r="D461" i="1" s="1"/>
  <c r="B462" i="1"/>
  <c r="B463" i="1" l="1"/>
  <c r="C462" i="1"/>
  <c r="A462" i="1"/>
  <c r="D462" i="1" s="1"/>
  <c r="B464" i="2"/>
  <c r="C463" i="2"/>
  <c r="A463" i="2"/>
  <c r="D463" i="2" s="1"/>
  <c r="B465" i="2" l="1"/>
  <c r="C464" i="2"/>
  <c r="A464" i="2"/>
  <c r="D464" i="2" s="1"/>
  <c r="B464" i="1"/>
  <c r="C463" i="1"/>
  <c r="A463" i="1"/>
  <c r="D463" i="1" s="1"/>
  <c r="B465" i="1" l="1"/>
  <c r="C464" i="1"/>
  <c r="B466" i="1"/>
  <c r="A464" i="1"/>
  <c r="D464" i="1" s="1"/>
  <c r="A465" i="2"/>
  <c r="D465" i="2" s="1"/>
  <c r="B466" i="2"/>
  <c r="C465" i="2"/>
  <c r="B468" i="2" l="1"/>
  <c r="A466" i="2"/>
  <c r="D466" i="2" s="1"/>
  <c r="C466" i="2"/>
  <c r="C466" i="1"/>
  <c r="A466" i="1"/>
  <c r="D466" i="1" s="1"/>
  <c r="C465" i="1"/>
  <c r="A465" i="1"/>
  <c r="D465" i="1" s="1"/>
  <c r="B468" i="1"/>
  <c r="B467" i="1"/>
  <c r="B469" i="1" l="1"/>
  <c r="B470" i="1"/>
  <c r="C467" i="1"/>
  <c r="A467" i="1"/>
  <c r="D467" i="1" s="1"/>
  <c r="C468" i="1"/>
  <c r="A468" i="1"/>
  <c r="D468" i="1" s="1"/>
  <c r="B469" i="2"/>
  <c r="C468" i="2"/>
  <c r="A468" i="2"/>
  <c r="D468" i="2" s="1"/>
  <c r="C469" i="2" l="1"/>
  <c r="A469" i="2"/>
  <c r="D469" i="2" s="1"/>
  <c r="B470" i="2"/>
  <c r="C470" i="1"/>
  <c r="A470" i="1"/>
  <c r="D470" i="1" s="1"/>
  <c r="C469" i="1"/>
  <c r="A469" i="1"/>
  <c r="D469" i="1" s="1"/>
  <c r="B471" i="1"/>
  <c r="B472" i="1" l="1"/>
  <c r="C471" i="1"/>
  <c r="A471" i="1"/>
  <c r="D471" i="1" s="1"/>
  <c r="A470" i="2"/>
  <c r="D470" i="2" s="1"/>
  <c r="B471" i="2"/>
  <c r="C470" i="2"/>
  <c r="B473" i="2" l="1"/>
  <c r="C471" i="2"/>
  <c r="A471" i="2"/>
  <c r="D471" i="2" s="1"/>
  <c r="B473" i="1"/>
  <c r="C472" i="1"/>
  <c r="A472" i="1"/>
  <c r="D472" i="1" s="1"/>
  <c r="C473" i="1" l="1"/>
  <c r="A473" i="1"/>
  <c r="D473" i="1" s="1"/>
  <c r="B474" i="1"/>
  <c r="B475" i="2"/>
  <c r="C473" i="2"/>
  <c r="A473" i="2"/>
  <c r="D473" i="2" s="1"/>
  <c r="C475" i="2" l="1"/>
  <c r="A475" i="2"/>
  <c r="D475" i="2" s="1"/>
  <c r="B476" i="2"/>
  <c r="B476" i="1"/>
  <c r="A474" i="1"/>
  <c r="D474" i="1" s="1"/>
  <c r="B475" i="1"/>
  <c r="C474" i="1"/>
  <c r="B477" i="1" l="1"/>
  <c r="C475" i="1"/>
  <c r="A475" i="1"/>
  <c r="D475" i="1" s="1"/>
  <c r="C476" i="1"/>
  <c r="A476" i="1"/>
  <c r="D476" i="1" s="1"/>
  <c r="A476" i="2"/>
  <c r="D476" i="2" s="1"/>
  <c r="B477" i="2"/>
  <c r="C476" i="2"/>
  <c r="B480" i="2" l="1"/>
  <c r="C477" i="2"/>
  <c r="A477" i="2"/>
  <c r="D477" i="2" s="1"/>
  <c r="C477" i="1"/>
  <c r="A477" i="1"/>
  <c r="D477" i="1" s="1"/>
  <c r="B481" i="1"/>
  <c r="B480" i="1"/>
  <c r="B483" i="1" l="1"/>
  <c r="C480" i="1"/>
  <c r="A480" i="1"/>
  <c r="D480" i="1" s="1"/>
  <c r="C481" i="1"/>
  <c r="A481" i="1"/>
  <c r="D481" i="1" s="1"/>
  <c r="B481" i="2"/>
  <c r="C480" i="2"/>
  <c r="A480" i="2"/>
  <c r="D480" i="2" s="1"/>
  <c r="C481" i="2" l="1"/>
  <c r="A481" i="2"/>
  <c r="D481" i="2" s="1"/>
  <c r="B482" i="2"/>
  <c r="B484" i="1"/>
  <c r="C483" i="1"/>
  <c r="A483" i="1"/>
  <c r="D483" i="1" s="1"/>
  <c r="A484" i="1" l="1"/>
  <c r="D484" i="1" s="1"/>
  <c r="C484" i="1"/>
  <c r="B485" i="1"/>
  <c r="B483" i="2"/>
  <c r="C482" i="2"/>
  <c r="A482" i="2"/>
  <c r="D482" i="2" s="1"/>
  <c r="B485" i="2" l="1"/>
  <c r="C483" i="2"/>
  <c r="A483" i="2"/>
  <c r="D483" i="2" s="1"/>
  <c r="B486" i="1"/>
  <c r="C485" i="1"/>
  <c r="A485" i="1"/>
  <c r="D485" i="1" s="1"/>
  <c r="B487" i="1" l="1"/>
  <c r="C486" i="1"/>
  <c r="A486" i="1"/>
  <c r="D486" i="1" s="1"/>
  <c r="B486" i="2"/>
  <c r="C485" i="2"/>
  <c r="A485" i="2"/>
  <c r="D485" i="2" s="1"/>
  <c r="C486" i="2" l="1"/>
  <c r="A486" i="2"/>
  <c r="D486" i="2" s="1"/>
  <c r="B488" i="2"/>
  <c r="B489" i="1"/>
  <c r="C487" i="1"/>
  <c r="A487" i="1"/>
  <c r="D487" i="1" s="1"/>
  <c r="A489" i="1" l="1"/>
  <c r="D489" i="1" s="1"/>
  <c r="B490" i="1"/>
  <c r="C489" i="1"/>
  <c r="B489" i="2"/>
  <c r="C488" i="2"/>
  <c r="A488" i="2"/>
  <c r="D488" i="2" s="1"/>
  <c r="B492" i="1" l="1"/>
  <c r="C490" i="1"/>
  <c r="A490" i="1"/>
  <c r="D490" i="1" s="1"/>
  <c r="B490" i="2"/>
  <c r="C489" i="2"/>
  <c r="A489" i="2"/>
  <c r="D489" i="2" s="1"/>
  <c r="B491" i="2" l="1"/>
  <c r="C490" i="2"/>
  <c r="A490" i="2"/>
  <c r="D490" i="2" s="1"/>
  <c r="B494" i="1"/>
  <c r="C492" i="1"/>
  <c r="A492" i="1"/>
  <c r="D492" i="1" s="1"/>
  <c r="C494" i="1" l="1"/>
  <c r="A494" i="1"/>
  <c r="D494" i="1" s="1"/>
  <c r="B495" i="1"/>
  <c r="C491" i="2"/>
  <c r="A491" i="2"/>
  <c r="D491" i="2" s="1"/>
  <c r="B492" i="2"/>
  <c r="A495" i="1" l="1"/>
  <c r="D495" i="1" s="1"/>
  <c r="B496" i="1"/>
  <c r="C495" i="1"/>
  <c r="B494" i="2"/>
  <c r="A492" i="2"/>
  <c r="D492" i="2" s="1"/>
  <c r="C492" i="2"/>
  <c r="A496" i="1" l="1"/>
  <c r="D496" i="1" s="1"/>
  <c r="B498" i="1"/>
  <c r="C496" i="1"/>
  <c r="B495" i="2"/>
  <c r="C494" i="2"/>
  <c r="A494" i="2"/>
  <c r="D494" i="2" s="1"/>
  <c r="B498" i="2" l="1"/>
  <c r="C495" i="2"/>
  <c r="A495" i="2"/>
  <c r="D495" i="2" s="1"/>
  <c r="B499" i="1"/>
  <c r="C498" i="1"/>
  <c r="A498" i="1"/>
  <c r="D498" i="1" s="1"/>
  <c r="C499" i="1" l="1"/>
  <c r="A499" i="1"/>
  <c r="D499" i="1" s="1"/>
  <c r="B501" i="1"/>
  <c r="C498" i="2"/>
  <c r="A498" i="2"/>
  <c r="D498" i="2" s="1"/>
  <c r="B499" i="2"/>
  <c r="B500" i="2" l="1"/>
  <c r="A499" i="2"/>
  <c r="D499" i="2" s="1"/>
  <c r="C499" i="2"/>
  <c r="A501" i="1"/>
  <c r="D501" i="1" s="1"/>
  <c r="B503" i="1"/>
  <c r="C501" i="1"/>
  <c r="B504" i="1" l="1"/>
  <c r="C503" i="1"/>
  <c r="A503" i="1"/>
  <c r="D503" i="1" s="1"/>
  <c r="B501" i="2"/>
  <c r="C500" i="2"/>
  <c r="A500" i="2"/>
  <c r="D500" i="2" s="1"/>
  <c r="B502" i="2" l="1"/>
  <c r="C501" i="2"/>
  <c r="A501" i="2"/>
  <c r="D501" i="2" s="1"/>
  <c r="B505" i="1"/>
  <c r="C504" i="1"/>
  <c r="A504" i="1"/>
  <c r="D504" i="1" s="1"/>
  <c r="C505" i="1" l="1"/>
  <c r="A505" i="1"/>
  <c r="D505" i="1" s="1"/>
  <c r="B506" i="1"/>
  <c r="A502" i="2"/>
  <c r="D502" i="2" s="1"/>
  <c r="C502" i="2"/>
  <c r="B503" i="2"/>
  <c r="B504" i="2" l="1"/>
  <c r="A503" i="2"/>
  <c r="D503" i="2" s="1"/>
  <c r="C503" i="2"/>
  <c r="C506" i="1"/>
  <c r="A506" i="1"/>
  <c r="D506" i="1" s="1"/>
  <c r="B507" i="1"/>
  <c r="B508" i="1" l="1"/>
  <c r="C507" i="1"/>
  <c r="A507" i="1"/>
  <c r="D507" i="1" s="1"/>
  <c r="B505" i="2"/>
  <c r="C504" i="2"/>
  <c r="A504" i="2"/>
  <c r="D504" i="2" s="1"/>
  <c r="C505" i="2" l="1"/>
  <c r="A505" i="2"/>
  <c r="D505" i="2" s="1"/>
  <c r="B506" i="2"/>
  <c r="B509" i="1"/>
  <c r="C508" i="1"/>
  <c r="A508" i="1"/>
  <c r="D508" i="1" s="1"/>
  <c r="A506" i="2" l="1"/>
  <c r="D506" i="2" s="1"/>
  <c r="C506" i="2"/>
  <c r="B507" i="2"/>
  <c r="C509" i="1"/>
  <c r="A509" i="1"/>
  <c r="D509" i="1" s="1"/>
  <c r="B510" i="1"/>
  <c r="C510" i="1" l="1"/>
  <c r="B511" i="1"/>
  <c r="A510" i="1"/>
  <c r="D510" i="1" s="1"/>
  <c r="B508" i="2"/>
  <c r="C507" i="2"/>
  <c r="A507" i="2"/>
  <c r="B509" i="2" l="1"/>
  <c r="C508" i="2"/>
  <c r="A508" i="2"/>
  <c r="B512" i="1"/>
  <c r="C511" i="1"/>
  <c r="A511" i="1"/>
  <c r="D511" i="1" s="1"/>
  <c r="B513" i="1" l="1"/>
  <c r="C512" i="1"/>
  <c r="A512" i="1"/>
  <c r="D512" i="1" s="1"/>
  <c r="B510" i="2"/>
  <c r="C509" i="2"/>
  <c r="A509" i="2"/>
  <c r="C510" i="2" l="1"/>
  <c r="A510" i="2"/>
  <c r="C513" i="1"/>
  <c r="A513" i="1"/>
  <c r="D513" i="1" s="1"/>
  <c r="B514" i="1"/>
  <c r="C514" i="1" l="1"/>
  <c r="A514" i="1"/>
  <c r="D514" i="1" s="1"/>
</calcChain>
</file>

<file path=xl/sharedStrings.xml><?xml version="1.0" encoding="utf-8"?>
<sst xmlns="http://schemas.openxmlformats.org/spreadsheetml/2006/main" count="2335" uniqueCount="180">
  <si>
    <t>AGRESSO</t>
  </si>
  <si>
    <t>HORAS =</t>
  </si>
  <si>
    <t>PROYECTO</t>
  </si>
  <si>
    <t>ACTIVIDAD</t>
  </si>
  <si>
    <t>DESCRIPCIÓN</t>
  </si>
  <si>
    <t>TOTAL HORAS</t>
  </si>
  <si>
    <t>1010123003 NELP</t>
  </si>
  <si>
    <t>3300SBR3345 Underpass SP1-17</t>
  </si>
  <si>
    <t>Grassopper Underpass</t>
  </si>
  <si>
    <t>1010223006_SINGLETON</t>
  </si>
  <si>
    <t>175 BIM</t>
  </si>
  <si>
    <t>Mdelos Revit de los Puentes</t>
  </si>
  <si>
    <t>C0049.1207 BROADWAY SUBWAY PROJECT</t>
  </si>
  <si>
    <t>INFO 3</t>
  </si>
  <si>
    <t>Tablero Viaducto. Parapetos, arreglo tabica</t>
  </si>
  <si>
    <t>GGBIM</t>
  </si>
  <si>
    <t>45 FORM</t>
  </si>
  <si>
    <t>Clases de Inglés</t>
  </si>
  <si>
    <t>Modelos Revit de los Puentes</t>
  </si>
  <si>
    <t>46 GASGEN</t>
  </si>
  <si>
    <t>Reunión departamento</t>
  </si>
  <si>
    <t>Break con Compliance</t>
  </si>
  <si>
    <t>Clases de Inglés (falta)</t>
  </si>
  <si>
    <t>41223001 Cruz Pantalán Cepsa San Roque</t>
  </si>
  <si>
    <t>13 ESTRUCTURA</t>
  </si>
  <si>
    <t>Modelar ignifugado</t>
  </si>
  <si>
    <t>SBR-3341 Bridge SP1-10 a, c</t>
  </si>
  <si>
    <t>Grassopper Bridge</t>
  </si>
  <si>
    <t>Reunión Construsoft</t>
  </si>
  <si>
    <t>Modelo Tekla</t>
  </si>
  <si>
    <t>Coordinación</t>
  </si>
  <si>
    <t>BIM Core</t>
  </si>
  <si>
    <t>Manejo nube de puntos</t>
  </si>
  <si>
    <t>FIESTA</t>
  </si>
  <si>
    <t>33124001 Restart E6 Ranheim Vaernes</t>
  </si>
  <si>
    <t>13ESTRUC</t>
  </si>
  <si>
    <t>Modelo Tekla E62</t>
  </si>
  <si>
    <t>K62 Tekla/Grasshopper implementation of modifications</t>
  </si>
  <si>
    <t>Clases de Inglés (todas las horas para la E6)</t>
  </si>
  <si>
    <t>VACACIONES</t>
  </si>
  <si>
    <t>Bridge Grasshopper model</t>
  </si>
  <si>
    <t>K80 IFC Status Work in Progress January 2023</t>
  </si>
  <si>
    <t>K62 Glue and Rebars Axis 5</t>
  </si>
  <si>
    <t>Planos Tekla</t>
  </si>
  <si>
    <t>ISO19650 Operam Training</t>
  </si>
  <si>
    <t>Tekla / Grasshopper / TC - Buenas prácticas</t>
  </si>
  <si>
    <t>Modelo Tekla Refuerzo V40</t>
  </si>
  <si>
    <t>100662-TA-0003</t>
  </si>
  <si>
    <t>TA-0003 BBS Pier Cap 4 group 4356</t>
  </si>
  <si>
    <t>12322021 VBR</t>
  </si>
  <si>
    <t>175BIM</t>
  </si>
  <si>
    <t>Planos Revit AsBuilt</t>
  </si>
  <si>
    <t>K62 IFC Model revB submission</t>
  </si>
  <si>
    <t>O24191 Armado cajones Ravenna</t>
  </si>
  <si>
    <t>00NODESG</t>
  </si>
  <si>
    <t>Toma de contacto y elección del software</t>
  </si>
  <si>
    <t>Preparar plantilla Tekla</t>
  </si>
  <si>
    <t>Modelar cajón, armar y plano muestra</t>
  </si>
  <si>
    <t>PLBIM48 PLAN BIM</t>
  </si>
  <si>
    <t>PREPARAR VII BIM FORUM ACCIONA</t>
  </si>
  <si>
    <t>Preparar plantilla Planos</t>
  </si>
  <si>
    <t>VII BIM FORUM ACCIONA</t>
  </si>
  <si>
    <t>Compartir experiencias con equipo Rumania</t>
  </si>
  <si>
    <t>O24214 NUEVO EDIFICIO JRC</t>
  </si>
  <si>
    <t>Oferta Modelado Estructura Metálica</t>
  </si>
  <si>
    <t>O24204 EVALUACIÓN TERMINAL CEPSA SAN ROQUE</t>
  </si>
  <si>
    <t>Oferta Modelado Estructura Metálica As-built</t>
  </si>
  <si>
    <t>C4058.213 AMPLIACIÓN NORTE PUERTO DE VALENCIA</t>
  </si>
  <si>
    <t>00NODESG (SOPORTE)</t>
  </si>
  <si>
    <t>TS2AC-5344</t>
  </si>
  <si>
    <t>K62 IFC Model revC submission</t>
  </si>
  <si>
    <t>K62 IFC RevC Simplified</t>
  </si>
  <si>
    <t>POWER BI Training</t>
  </si>
  <si>
    <t>WorkshopIII. Orana &amp; Singleton</t>
  </si>
  <si>
    <t>O24268 PUENTES LUISIANA 30% DESIGN</t>
  </si>
  <si>
    <t>00NODESG PROYECTOS SIN DESIGNACIÓN</t>
  </si>
  <si>
    <t>Estimar tiempo de producción puentes</t>
  </si>
  <si>
    <t>Investigar/Documentar Familias Revit con Grasshopper</t>
  </si>
  <si>
    <t>106I+D+I</t>
  </si>
  <si>
    <t>ARTICULO PARA IX CONGRESO ACHE</t>
  </si>
  <si>
    <t>COMIDA NAVIDAD</t>
  </si>
  <si>
    <t>Faltas de Ingles:</t>
  </si>
  <si>
    <t>VABIM</t>
  </si>
  <si>
    <t>48VACACI</t>
  </si>
  <si>
    <t>Gestionar trabajos con Rumania</t>
  </si>
  <si>
    <t>K63 Model updated Cowi round</t>
  </si>
  <si>
    <t>BR07 Model IFC updated</t>
  </si>
  <si>
    <t>Generar archivos IFC y Dwg3d</t>
  </si>
  <si>
    <t>K62 Reinforcement Modification Asessment</t>
  </si>
  <si>
    <t>BR07 Model and Drawings IFC updated</t>
  </si>
  <si>
    <t>BR07 Model and Drawings submission</t>
  </si>
  <si>
    <t>K62 AR-0020 Modification of rebars in axis 1 &amp; 2.</t>
  </si>
  <si>
    <t>K62 AR-0020 Modification of rebars in axis 1 and 2 --&gt; 111h máximo</t>
  </si>
  <si>
    <t>Punto 1. Horas máx = 4</t>
  </si>
  <si>
    <t>Demo ISTRAM</t>
  </si>
  <si>
    <t>Punto 2. Horas máx = 16</t>
  </si>
  <si>
    <t>Punto 11. Horas máx = 25</t>
  </si>
  <si>
    <t>Clases de Inglés (Vacaciones de Diego)</t>
  </si>
  <si>
    <t>Curso programación con Python</t>
  </si>
  <si>
    <t>BIM. API de Revit I. C#</t>
  </si>
  <si>
    <t>Webinar Rhino BEAM - IFC</t>
  </si>
  <si>
    <t>Webinar Revit to Rhino via Grasshopper</t>
  </si>
  <si>
    <t>Mejorar procedimiento generación puentes con Grasshopper</t>
  </si>
  <si>
    <t>C4058.213 AMPLIAC NORTE PUERTO VALENCIA</t>
  </si>
  <si>
    <t>TS2AC-5966</t>
  </si>
  <si>
    <t>44825001 DIGITAL SURVEY NORTH LONDON</t>
  </si>
  <si>
    <t>Prepare and explain Tekla functions</t>
  </si>
  <si>
    <t>Investigar con el desarrollo de aplicaciones</t>
  </si>
  <si>
    <t>Webinar Grasshopper. Buenas prácticas</t>
  </si>
  <si>
    <t>Reunión Comercial con Neotalent</t>
  </si>
  <si>
    <t>Desarrollar programación para proyecto Perú-Lima</t>
  </si>
  <si>
    <t>49ENFERM</t>
  </si>
  <si>
    <t>ENFERMEDAD</t>
  </si>
  <si>
    <t>K63 Model Submission for new round of comments</t>
  </si>
  <si>
    <t>Investigar API de Navisworks</t>
  </si>
  <si>
    <t>Analizar los Reports de BBS desde Tekla</t>
  </si>
  <si>
    <t>Clases de Inglés (Análisis preoperatorio)</t>
  </si>
  <si>
    <t>Mejorar Script Excel para BBS Autom. (Tekla)</t>
  </si>
  <si>
    <t>Actualizaciones Softwares</t>
  </si>
  <si>
    <t>TA-0046 Assessment of the total length of K63 LYTRW.</t>
  </si>
  <si>
    <t>TA-0046 K63 LYTRW’s BBS.</t>
  </si>
  <si>
    <t>Ayudar y resolver dudas de modelado en Tekla para Pravin Shitole (AUS)</t>
  </si>
  <si>
    <t>Webinar de Acciona. Crear tu propio Power BI</t>
  </si>
  <si>
    <t>Investigar con Blender y Bonsai (BIM Opensource)</t>
  </si>
  <si>
    <t>BIM. Analista Programador JavaScript</t>
  </si>
  <si>
    <t>Investigar con ifcopenshell (Opensource)</t>
  </si>
  <si>
    <t>Webinar Automating Rebar Drawings in Tekla with Grasshopper</t>
  </si>
  <si>
    <t>BIM. API de Revit II. C#</t>
  </si>
  <si>
    <t>Desarrollar aplicaciones para trabajar con IFCs (Python/Ifcopenshell)</t>
  </si>
  <si>
    <t>Webinar buscardor de recursos BIM</t>
  </si>
  <si>
    <t>33124005 EDI AVP 1-3 LIMA</t>
  </si>
  <si>
    <t>03BIM</t>
  </si>
  <si>
    <t>Parametrización Viaducto T3 - E35</t>
  </si>
  <si>
    <t>Formación Tekla para Estructuras</t>
  </si>
  <si>
    <t>Webinar. Automatizar conexiones acero: Tekla, Grasshoper, Idea Statica</t>
  </si>
  <si>
    <t>Parametrización Viaducto T3 - E34</t>
  </si>
  <si>
    <t>AR-0028 K62 Column Head Adjustments</t>
  </si>
  <si>
    <t>01BIM</t>
  </si>
  <si>
    <t>Parametrización Viaducto T1 - E06</t>
  </si>
  <si>
    <t>Parametrización Viaducto T1 - E07</t>
  </si>
  <si>
    <t>Parametrización Viaducto T1 - E01</t>
  </si>
  <si>
    <t>Congreso ACHE</t>
  </si>
  <si>
    <t>K62 Bestilling Akse 5</t>
  </si>
  <si>
    <t>Parametrización Viaducto T1 - E02</t>
  </si>
  <si>
    <t>Parametrización Viaducto T1 - E3</t>
  </si>
  <si>
    <t>Parametrización Viaducto T1 - E7</t>
  </si>
  <si>
    <t>Parametrización Viaducto T1 - E1</t>
  </si>
  <si>
    <t>OFBIM</t>
  </si>
  <si>
    <t>Cajones Puerto Ravenna - Valoración en Revit</t>
  </si>
  <si>
    <t>Parametrización Viaducto T1 - E2</t>
  </si>
  <si>
    <t>K62 AR-0033 New railing</t>
  </si>
  <si>
    <t>K62 - Trekkerør til lysmast via dekkestøp vs kablestige</t>
  </si>
  <si>
    <t>Parametrización Viaducto T1 - E6</t>
  </si>
  <si>
    <t>44825002 DIGITAL ENGINEERING NORTH LONDON</t>
  </si>
  <si>
    <t>Tekla consulting services</t>
  </si>
  <si>
    <t>Eliminación refuerzo subestructura</t>
  </si>
  <si>
    <t>Actualización Viaducto T1 - E1 E2 E3, E6</t>
  </si>
  <si>
    <t>Actualización Viaducto T1 - E7</t>
  </si>
  <si>
    <t>Revisión Parametrización</t>
  </si>
  <si>
    <t>Modificación posición de unión en Columna Puente</t>
  </si>
  <si>
    <t>Actualización Viaducto T1 - E1</t>
  </si>
  <si>
    <t>K62 RevF Submission</t>
  </si>
  <si>
    <t>AR-0037 Armering bakvegg og vinger A1</t>
  </si>
  <si>
    <t>Hrs Extra</t>
  </si>
  <si>
    <t xml:space="preserve">No estuvo el profesor. Hice una captura. Se reagendará </t>
  </si>
  <si>
    <t>Parametrización Viaducto T1 - E5</t>
  </si>
  <si>
    <t>Digital Academy - El Arte de Conversar con la IA</t>
  </si>
  <si>
    <t>Puentes T1</t>
  </si>
  <si>
    <t>K62 Bearings Deviation 3D importing</t>
  </si>
  <si>
    <t>BIM FORUM 2025</t>
  </si>
  <si>
    <t>Parametrización Viaducto T3 - E0010</t>
  </si>
  <si>
    <t>K63 Tekla model submission</t>
  </si>
  <si>
    <t>Modelar Pasarelas</t>
  </si>
  <si>
    <t>Webinar. Presentación RCEclass (Dirección General de Carreteras)</t>
  </si>
  <si>
    <t>Correcciones Puente E0001</t>
  </si>
  <si>
    <t>K62 RevH Submission. OV lighting ducts + hangers traffic sign portals</t>
  </si>
  <si>
    <t>Pasarelas</t>
  </si>
  <si>
    <t>Modificación parámetros Soldadura</t>
  </si>
  <si>
    <t>Puentes</t>
  </si>
  <si>
    <t>Cóctel 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</si>
</sst>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;@"/>
    <numFmt numFmtId="165" formatCode="[$-C0A]mmm;@"/>
    <numFmt numFmtId="166" formatCode="ddd"/>
    <numFmt numFmtId="167" formatCode="ss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5" fillId="0" borderId="5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165" fontId="1" fillId="3" borderId="9" xfId="0" applyNumberFormat="1" applyFont="1" applyFill="1" applyBorder="1"/>
    <xf numFmtId="164" fontId="1" fillId="3" borderId="9" xfId="0" applyNumberFormat="1" applyFont="1" applyFill="1" applyBorder="1"/>
    <xf numFmtId="166" fontId="1" fillId="3" borderId="9" xfId="0" applyNumberFormat="1" applyFont="1" applyFill="1" applyBorder="1"/>
    <xf numFmtId="167" fontId="1" fillId="3" borderId="9" xfId="0" applyNumberFormat="1" applyFont="1" applyFill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1" fontId="1" fillId="3" borderId="9" xfId="0" applyNumberFormat="1" applyFont="1" applyFill="1" applyBorder="1"/>
    <xf numFmtId="0" fontId="0" fillId="3" borderId="9" xfId="0" applyFill="1" applyBorder="1"/>
    <xf numFmtId="0" fontId="6" fillId="3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 vertical="center"/>
    </xf>
    <xf numFmtId="0" fontId="0" fillId="4" borderId="9" xfId="0" applyFill="1" applyBorder="1"/>
    <xf numFmtId="0" fontId="6" fillId="4" borderId="9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165" fontId="7" fillId="0" borderId="9" xfId="0" applyNumberFormat="1" applyFont="1" applyBorder="1"/>
    <xf numFmtId="0" fontId="6" fillId="0" borderId="9" xfId="0" applyFont="1" applyBorder="1" applyAlignment="1">
      <alignment horizontal="center" vertical="center"/>
    </xf>
    <xf numFmtId="0" fontId="8" fillId="0" borderId="9" xfId="0" applyFont="1" applyBorder="1"/>
    <xf numFmtId="0" fontId="9" fillId="4" borderId="9" xfId="0" applyFont="1" applyFill="1" applyBorder="1"/>
    <xf numFmtId="0" fontId="10" fillId="4" borderId="9" xfId="0" applyFont="1" applyFill="1" applyBorder="1" applyAlignment="1">
      <alignment horizontal="left"/>
    </xf>
    <xf numFmtId="0" fontId="10" fillId="4" borderId="9" xfId="0" applyFont="1" applyFill="1" applyBorder="1" applyAlignment="1">
      <alignment horizontal="left" vertical="center"/>
    </xf>
    <xf numFmtId="165" fontId="1" fillId="5" borderId="9" xfId="0" applyNumberFormat="1" applyFont="1" applyFill="1" applyBorder="1"/>
    <xf numFmtId="164" fontId="1" fillId="5" borderId="9" xfId="0" applyNumberFormat="1" applyFont="1" applyFill="1" applyBorder="1"/>
    <xf numFmtId="166" fontId="1" fillId="5" borderId="9" xfId="0" applyNumberFormat="1" applyFont="1" applyFill="1" applyBorder="1"/>
    <xf numFmtId="1" fontId="1" fillId="5" borderId="9" xfId="0" applyNumberFormat="1" applyFont="1" applyFill="1" applyBorder="1"/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6" fillId="5" borderId="9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center" vertical="center"/>
    </xf>
    <xf numFmtId="0" fontId="9" fillId="0" borderId="9" xfId="0" applyFont="1" applyBorder="1"/>
    <xf numFmtId="0" fontId="0" fillId="3" borderId="9" xfId="0" applyFill="1" applyBorder="1" applyAlignment="1">
      <alignment vertical="top"/>
    </xf>
    <xf numFmtId="0" fontId="6" fillId="3" borderId="9" xfId="0" applyFont="1" applyFill="1" applyBorder="1" applyAlignment="1">
      <alignment horizontal="left" wrapText="1"/>
    </xf>
    <xf numFmtId="0" fontId="6" fillId="3" borderId="9" xfId="0" quotePrefix="1" applyFont="1" applyFill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6" fillId="0" borderId="9" xfId="0" quotePrefix="1" applyFont="1" applyBorder="1" applyAlignment="1">
      <alignment horizontal="left" wrapText="1"/>
    </xf>
    <xf numFmtId="0" fontId="6" fillId="3" borderId="9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wrapText="1"/>
    </xf>
    <xf numFmtId="0" fontId="6" fillId="5" borderId="9" xfId="0" applyFont="1" applyFill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9" xfId="0" applyFont="1" applyBorder="1" applyAlignment="1">
      <alignment horizontal="left" vertical="center"/>
    </xf>
    <xf numFmtId="0" fontId="0" fillId="2" borderId="10" xfId="0" applyFill="1" applyBorder="1" applyAlignment="1">
      <alignment horizontal="center"/>
    </xf>
    <xf numFmtId="0" fontId="0" fillId="6" borderId="8" xfId="0" applyFill="1" applyBorder="1"/>
    <xf numFmtId="0" fontId="6" fillId="0" borderId="9" xfId="0" applyFont="1" applyBorder="1"/>
  </cellXfs>
  <cellStyles count="1">
    <cellStyle name="Normal" xfId="0" builtinId="0"/>
  </cellStyles>
  <dxfs count="1191"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6" tint="0.7999816888943144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ill>
        <patternFill>
          <bgColor theme="5"/>
        </patternFill>
      </fill>
    </dxf>
    <dxf>
      <fill>
        <patternFill>
          <bgColor theme="4" tint="0.59996337778862885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6356-A75A-48BA-A003-DDA4C1850B2F}">
  <dimension ref="A1:L514"/>
  <sheetViews>
    <sheetView showGridLines="0" tabSelected="1" zoomScale="120" zoomScaleNormal="120" workbookViewId="0">
      <pane xSplit="4" ySplit="3" topLeftCell="E79" activePane="bottomRight" state="frozen"/>
      <selection activeCell="G380" sqref="G380"/>
      <selection pane="topRight" activeCell="G380" sqref="G380"/>
      <selection pane="bottomLeft" activeCell="G380" sqref="G380"/>
      <selection pane="bottomRight" activeCell="G380" sqref="G380"/>
    </sheetView>
  </sheetViews>
  <sheetFormatPr baseColWidth="10" defaultColWidth="11.42578125" defaultRowHeight="15" x14ac:dyDescent="0.25"/>
  <cols>
    <col min="1" max="1" width="7" style="1" customWidth="1"/>
    <col min="2" max="3" width="5.7109375" style="2" customWidth="1"/>
    <col min="4" max="4" width="5.7109375" style="3" customWidth="1"/>
    <col min="5" max="5" width="11.5703125" customWidth="1"/>
    <col min="6" max="6" width="37.28515625" style="7" customWidth="1"/>
    <col min="7" max="7" width="48.28515625" style="6" customWidth="1"/>
    <col min="8" max="8" width="43.140625" style="6" customWidth="1"/>
    <col min="9" max="9" width="4.42578125" style="7" customWidth="1"/>
    <col min="10" max="10" width="15.7109375" style="7" customWidth="1"/>
    <col min="11" max="12" width="15.7109375" customWidth="1"/>
    <col min="13" max="24" width="10.7109375" customWidth="1"/>
    <col min="25" max="309" width="4.7109375" customWidth="1"/>
  </cols>
  <sheetData>
    <row r="1" spans="1:12" ht="15.75" thickBot="1" x14ac:dyDescent="0.3">
      <c r="A1" s="1" t="s">
        <v>0</v>
      </c>
      <c r="E1" s="4" t="s">
        <v>1</v>
      </c>
      <c r="F1" s="5">
        <f>SUBTOTAL(9,$E$4:$E$514)</f>
        <v>1752.5</v>
      </c>
      <c r="J1" s="8"/>
    </row>
    <row r="2" spans="1:12" s="17" customFormat="1" ht="12" x14ac:dyDescent="0.2">
      <c r="A2" s="9"/>
      <c r="B2" s="10"/>
      <c r="C2" s="10"/>
      <c r="D2" s="11"/>
      <c r="E2" s="12"/>
      <c r="F2" s="13" t="s">
        <v>2</v>
      </c>
      <c r="G2" s="13" t="s">
        <v>3</v>
      </c>
      <c r="H2" s="14" t="s">
        <v>4</v>
      </c>
      <c r="I2" s="15"/>
      <c r="J2" s="16" t="s">
        <v>5</v>
      </c>
      <c r="K2" s="15"/>
      <c r="L2" s="15"/>
    </row>
    <row r="3" spans="1:12" s="4" customFormat="1" x14ac:dyDescent="0.25">
      <c r="A3" s="18"/>
      <c r="B3" s="19"/>
      <c r="C3" s="19"/>
      <c r="D3" s="20"/>
      <c r="E3" s="21"/>
      <c r="F3" s="22"/>
      <c r="G3" s="22"/>
      <c r="H3" s="23"/>
      <c r="I3" s="24"/>
      <c r="J3" s="25">
        <f>SUBTOTAL(9,J4:J484)</f>
        <v>1592.5</v>
      </c>
      <c r="K3" s="26"/>
      <c r="L3" s="27"/>
    </row>
    <row r="4" spans="1:12" x14ac:dyDescent="0.25">
      <c r="A4" s="28">
        <v>45292</v>
      </c>
      <c r="B4" s="29">
        <v>45292</v>
      </c>
      <c r="C4" s="30">
        <v>45292</v>
      </c>
      <c r="D4" s="31">
        <v>45292</v>
      </c>
      <c r="E4" s="32"/>
      <c r="F4" s="33"/>
      <c r="G4" s="34"/>
      <c r="H4" s="34"/>
      <c r="I4" s="33"/>
      <c r="J4" s="35"/>
    </row>
    <row r="5" spans="1:12" x14ac:dyDescent="0.25">
      <c r="A5" s="28">
        <f t="shared" ref="A5:A68" si="0">B5</f>
        <v>45293</v>
      </c>
      <c r="B5" s="29">
        <f>+B4+1</f>
        <v>45293</v>
      </c>
      <c r="C5" s="30">
        <f t="shared" ref="C5:C68" si="1">B5</f>
        <v>45293</v>
      </c>
      <c r="D5" s="31">
        <f t="shared" ref="D5" si="2">WEEKNUM(B5)</f>
        <v>1</v>
      </c>
      <c r="E5" s="32"/>
      <c r="F5" s="33"/>
      <c r="G5" s="34"/>
      <c r="H5" s="34"/>
      <c r="I5" s="33"/>
      <c r="J5" s="35"/>
    </row>
    <row r="6" spans="1:12" x14ac:dyDescent="0.25">
      <c r="A6" s="28">
        <f t="shared" si="0"/>
        <v>45294</v>
      </c>
      <c r="B6" s="29">
        <f>+B5+1</f>
        <v>45294</v>
      </c>
      <c r="C6" s="30">
        <f t="shared" si="1"/>
        <v>45294</v>
      </c>
      <c r="D6" s="36">
        <f t="shared" ref="D6:D69" si="3">WEEKNUM(A6)</f>
        <v>1</v>
      </c>
      <c r="E6" s="32"/>
      <c r="F6" s="33"/>
      <c r="G6" s="34"/>
      <c r="H6" s="34"/>
      <c r="I6" s="33"/>
      <c r="J6" s="35"/>
    </row>
    <row r="7" spans="1:12" x14ac:dyDescent="0.25">
      <c r="A7" s="28">
        <f t="shared" si="0"/>
        <v>45295</v>
      </c>
      <c r="B7" s="29">
        <f t="shared" ref="B7:B64" si="4">+B6+1</f>
        <v>45295</v>
      </c>
      <c r="C7" s="30">
        <f t="shared" si="1"/>
        <v>45295</v>
      </c>
      <c r="D7" s="36">
        <f t="shared" si="3"/>
        <v>1</v>
      </c>
      <c r="E7" s="32"/>
      <c r="F7" s="33"/>
      <c r="G7" s="34"/>
      <c r="H7" s="34"/>
      <c r="I7" s="33"/>
      <c r="J7" s="35"/>
    </row>
    <row r="8" spans="1:12" x14ac:dyDescent="0.25">
      <c r="A8" s="28">
        <f t="shared" si="0"/>
        <v>45296</v>
      </c>
      <c r="B8" s="29">
        <f t="shared" si="4"/>
        <v>45296</v>
      </c>
      <c r="C8" s="30">
        <f t="shared" si="1"/>
        <v>45296</v>
      </c>
      <c r="D8" s="36">
        <f t="shared" si="3"/>
        <v>1</v>
      </c>
      <c r="E8" s="32"/>
      <c r="F8" s="33"/>
      <c r="G8" s="34"/>
      <c r="H8" s="34"/>
      <c r="I8" s="33"/>
      <c r="J8" s="35"/>
    </row>
    <row r="9" spans="1:12" x14ac:dyDescent="0.25">
      <c r="A9" s="28">
        <f t="shared" si="0"/>
        <v>45297</v>
      </c>
      <c r="B9" s="29">
        <f t="shared" si="4"/>
        <v>45297</v>
      </c>
      <c r="C9" s="30">
        <f t="shared" si="1"/>
        <v>45297</v>
      </c>
      <c r="D9" s="36">
        <f t="shared" si="3"/>
        <v>1</v>
      </c>
      <c r="E9" s="32"/>
      <c r="F9" s="33"/>
      <c r="G9" s="34"/>
      <c r="H9" s="34"/>
      <c r="I9" s="33"/>
      <c r="J9" s="35"/>
    </row>
    <row r="10" spans="1:12" x14ac:dyDescent="0.25">
      <c r="A10" s="28">
        <f t="shared" si="0"/>
        <v>45298</v>
      </c>
      <c r="B10" s="29">
        <f t="shared" si="4"/>
        <v>45298</v>
      </c>
      <c r="C10" s="30">
        <f t="shared" si="1"/>
        <v>45298</v>
      </c>
      <c r="D10" s="36">
        <f t="shared" si="3"/>
        <v>2</v>
      </c>
      <c r="E10" s="32"/>
      <c r="F10" s="33"/>
      <c r="G10" s="34"/>
      <c r="H10" s="34"/>
      <c r="I10" s="33"/>
      <c r="J10" s="35"/>
    </row>
    <row r="11" spans="1:12" x14ac:dyDescent="0.25">
      <c r="A11" s="28">
        <f t="shared" si="0"/>
        <v>45299</v>
      </c>
      <c r="B11" s="29">
        <f t="shared" si="4"/>
        <v>45299</v>
      </c>
      <c r="C11" s="30">
        <f t="shared" si="1"/>
        <v>45299</v>
      </c>
      <c r="D11" s="36">
        <f t="shared" si="3"/>
        <v>2</v>
      </c>
      <c r="E11" s="37">
        <v>8.5</v>
      </c>
      <c r="F11" s="38" t="s">
        <v>6</v>
      </c>
      <c r="G11" s="39" t="s">
        <v>7</v>
      </c>
      <c r="H11" s="39" t="s">
        <v>8</v>
      </c>
      <c r="I11" s="33"/>
      <c r="J11" s="35"/>
    </row>
    <row r="12" spans="1:12" x14ac:dyDescent="0.25">
      <c r="A12" s="28">
        <f t="shared" si="0"/>
        <v>45300</v>
      </c>
      <c r="B12" s="29">
        <f t="shared" si="4"/>
        <v>45300</v>
      </c>
      <c r="C12" s="30">
        <f t="shared" si="1"/>
        <v>45300</v>
      </c>
      <c r="D12" s="36">
        <f t="shared" si="3"/>
        <v>2</v>
      </c>
      <c r="E12" s="40">
        <v>8.5</v>
      </c>
      <c r="F12" s="41" t="s">
        <v>6</v>
      </c>
      <c r="G12" s="42" t="s">
        <v>7</v>
      </c>
      <c r="H12" s="42" t="s">
        <v>8</v>
      </c>
      <c r="I12" s="33"/>
      <c r="J12" s="35"/>
    </row>
    <row r="13" spans="1:12" x14ac:dyDescent="0.25">
      <c r="A13" s="28">
        <f t="shared" si="0"/>
        <v>45301</v>
      </c>
      <c r="B13" s="29">
        <f>+$B$12+1</f>
        <v>45301</v>
      </c>
      <c r="C13" s="30">
        <f t="shared" si="1"/>
        <v>45301</v>
      </c>
      <c r="D13" s="36">
        <f t="shared" si="3"/>
        <v>2</v>
      </c>
      <c r="E13" s="37">
        <v>4.5</v>
      </c>
      <c r="F13" s="38" t="s">
        <v>9</v>
      </c>
      <c r="G13" s="39" t="s">
        <v>10</v>
      </c>
      <c r="H13" s="39" t="s">
        <v>11</v>
      </c>
      <c r="I13" s="33"/>
      <c r="J13" s="35"/>
    </row>
    <row r="14" spans="1:12" x14ac:dyDescent="0.25">
      <c r="A14" s="28">
        <f t="shared" si="0"/>
        <v>45301</v>
      </c>
      <c r="B14" s="29">
        <f t="shared" ref="B14:B15" si="5">+$B$12+1</f>
        <v>45301</v>
      </c>
      <c r="C14" s="30">
        <f t="shared" si="1"/>
        <v>45301</v>
      </c>
      <c r="D14" s="36">
        <f t="shared" si="3"/>
        <v>2</v>
      </c>
      <c r="E14" s="37">
        <v>2</v>
      </c>
      <c r="F14" s="38" t="s">
        <v>6</v>
      </c>
      <c r="G14" s="39" t="s">
        <v>7</v>
      </c>
      <c r="H14" s="39" t="s">
        <v>8</v>
      </c>
      <c r="I14" s="33"/>
      <c r="J14" s="35"/>
    </row>
    <row r="15" spans="1:12" x14ac:dyDescent="0.25">
      <c r="A15" s="28">
        <f t="shared" si="0"/>
        <v>45301</v>
      </c>
      <c r="B15" s="29">
        <f t="shared" si="5"/>
        <v>45301</v>
      </c>
      <c r="C15" s="30">
        <f t="shared" si="1"/>
        <v>45301</v>
      </c>
      <c r="D15" s="36">
        <f t="shared" si="3"/>
        <v>2</v>
      </c>
      <c r="E15" s="37">
        <v>2</v>
      </c>
      <c r="F15" s="38" t="s">
        <v>12</v>
      </c>
      <c r="G15" s="39" t="s">
        <v>13</v>
      </c>
      <c r="H15" s="39" t="s">
        <v>14</v>
      </c>
      <c r="I15" s="33"/>
      <c r="J15" s="35"/>
    </row>
    <row r="16" spans="1:12" x14ac:dyDescent="0.25">
      <c r="A16" s="28">
        <f t="shared" si="0"/>
        <v>45302</v>
      </c>
      <c r="B16" s="29">
        <f>+B13+1</f>
        <v>45302</v>
      </c>
      <c r="C16" s="30">
        <f t="shared" si="1"/>
        <v>45302</v>
      </c>
      <c r="D16" s="36">
        <f t="shared" si="3"/>
        <v>2</v>
      </c>
      <c r="E16" s="40">
        <v>8.5</v>
      </c>
      <c r="F16" s="41" t="s">
        <v>9</v>
      </c>
      <c r="G16" s="42" t="s">
        <v>10</v>
      </c>
      <c r="H16" s="42" t="s">
        <v>11</v>
      </c>
      <c r="I16" s="33"/>
      <c r="J16" s="35"/>
    </row>
    <row r="17" spans="1:10" x14ac:dyDescent="0.25">
      <c r="A17" s="28">
        <f t="shared" si="0"/>
        <v>45303</v>
      </c>
      <c r="B17" s="29">
        <f>+$B$16+1</f>
        <v>45303</v>
      </c>
      <c r="C17" s="30">
        <f t="shared" si="1"/>
        <v>45303</v>
      </c>
      <c r="D17" s="36">
        <f t="shared" si="3"/>
        <v>2</v>
      </c>
      <c r="E17" s="37">
        <v>3</v>
      </c>
      <c r="F17" s="38" t="s">
        <v>6</v>
      </c>
      <c r="G17" s="39" t="s">
        <v>7</v>
      </c>
      <c r="H17" s="39" t="s">
        <v>8</v>
      </c>
      <c r="I17" s="33"/>
      <c r="J17" s="35"/>
    </row>
    <row r="18" spans="1:10" x14ac:dyDescent="0.25">
      <c r="A18" s="28">
        <f t="shared" si="0"/>
        <v>45303</v>
      </c>
      <c r="B18" s="29">
        <f t="shared" ref="B18" si="6">+$B$16+1</f>
        <v>45303</v>
      </c>
      <c r="C18" s="30">
        <f t="shared" si="1"/>
        <v>45303</v>
      </c>
      <c r="D18" s="36">
        <f t="shared" si="3"/>
        <v>2</v>
      </c>
      <c r="E18" s="37">
        <v>3</v>
      </c>
      <c r="F18" s="38" t="s">
        <v>9</v>
      </c>
      <c r="G18" s="39" t="s">
        <v>10</v>
      </c>
      <c r="H18" s="39" t="s">
        <v>11</v>
      </c>
      <c r="I18" s="33"/>
      <c r="J18" s="35">
        <f>SUM(E11:E18)</f>
        <v>40</v>
      </c>
    </row>
    <row r="19" spans="1:10" x14ac:dyDescent="0.25">
      <c r="A19" s="28">
        <f t="shared" si="0"/>
        <v>45304</v>
      </c>
      <c r="B19" s="29">
        <f>+B17+1</f>
        <v>45304</v>
      </c>
      <c r="C19" s="30">
        <f t="shared" si="1"/>
        <v>45304</v>
      </c>
      <c r="D19" s="36">
        <f t="shared" si="3"/>
        <v>2</v>
      </c>
      <c r="E19" s="32"/>
      <c r="F19" s="33"/>
      <c r="G19" s="43"/>
      <c r="H19" s="43"/>
      <c r="I19" s="33"/>
      <c r="J19" s="35"/>
    </row>
    <row r="20" spans="1:10" x14ac:dyDescent="0.25">
      <c r="A20" s="28">
        <f t="shared" si="0"/>
        <v>45305</v>
      </c>
      <c r="B20" s="29">
        <f t="shared" si="4"/>
        <v>45305</v>
      </c>
      <c r="C20" s="30">
        <f t="shared" si="1"/>
        <v>45305</v>
      </c>
      <c r="D20" s="36">
        <f t="shared" si="3"/>
        <v>3</v>
      </c>
      <c r="E20" s="32"/>
      <c r="F20" s="33"/>
      <c r="G20" s="43"/>
      <c r="H20" s="43"/>
      <c r="I20" s="33"/>
      <c r="J20" s="35"/>
    </row>
    <row r="21" spans="1:10" x14ac:dyDescent="0.25">
      <c r="A21" s="28">
        <f t="shared" si="0"/>
        <v>45306</v>
      </c>
      <c r="B21" s="29">
        <f t="shared" si="4"/>
        <v>45306</v>
      </c>
      <c r="C21" s="30">
        <f t="shared" si="1"/>
        <v>45306</v>
      </c>
      <c r="D21" s="36">
        <f t="shared" si="3"/>
        <v>3</v>
      </c>
      <c r="E21" s="37">
        <v>8.5</v>
      </c>
      <c r="F21" s="38" t="s">
        <v>6</v>
      </c>
      <c r="G21" s="39" t="s">
        <v>7</v>
      </c>
      <c r="H21" s="39" t="s">
        <v>8</v>
      </c>
      <c r="I21" s="33"/>
      <c r="J21" s="35"/>
    </row>
    <row r="22" spans="1:10" x14ac:dyDescent="0.25">
      <c r="A22" s="28">
        <f t="shared" si="0"/>
        <v>45307</v>
      </c>
      <c r="B22" s="29">
        <f>+$B$21+1</f>
        <v>45307</v>
      </c>
      <c r="C22" s="30">
        <f t="shared" si="1"/>
        <v>45307</v>
      </c>
      <c r="D22" s="36">
        <f t="shared" si="3"/>
        <v>3</v>
      </c>
      <c r="E22" s="40">
        <v>3</v>
      </c>
      <c r="F22" s="41" t="s">
        <v>6</v>
      </c>
      <c r="G22" s="42" t="s">
        <v>7</v>
      </c>
      <c r="H22" s="42" t="s">
        <v>8</v>
      </c>
      <c r="I22" s="33"/>
      <c r="J22" s="35"/>
    </row>
    <row r="23" spans="1:10" x14ac:dyDescent="0.25">
      <c r="A23" s="28">
        <f t="shared" si="0"/>
        <v>45307</v>
      </c>
      <c r="B23" s="29">
        <f t="shared" ref="B23:B24" si="7">+$B$21+1</f>
        <v>45307</v>
      </c>
      <c r="C23" s="30">
        <f t="shared" si="1"/>
        <v>45307</v>
      </c>
      <c r="D23" s="36">
        <f t="shared" si="3"/>
        <v>3</v>
      </c>
      <c r="E23" s="40">
        <v>1.5</v>
      </c>
      <c r="F23" s="41" t="s">
        <v>15</v>
      </c>
      <c r="G23" s="42" t="s">
        <v>16</v>
      </c>
      <c r="H23" s="42" t="s">
        <v>17</v>
      </c>
      <c r="I23" s="33"/>
      <c r="J23" s="35"/>
    </row>
    <row r="24" spans="1:10" x14ac:dyDescent="0.25">
      <c r="A24" s="28">
        <f t="shared" si="0"/>
        <v>45307</v>
      </c>
      <c r="B24" s="29">
        <f t="shared" si="7"/>
        <v>45307</v>
      </c>
      <c r="C24" s="30">
        <f t="shared" si="1"/>
        <v>45307</v>
      </c>
      <c r="D24" s="36">
        <f t="shared" si="3"/>
        <v>3</v>
      </c>
      <c r="E24" s="40">
        <v>4</v>
      </c>
      <c r="F24" s="41" t="s">
        <v>9</v>
      </c>
      <c r="G24" s="42" t="s">
        <v>10</v>
      </c>
      <c r="H24" s="42" t="s">
        <v>18</v>
      </c>
      <c r="I24" s="33"/>
      <c r="J24" s="35"/>
    </row>
    <row r="25" spans="1:10" x14ac:dyDescent="0.25">
      <c r="A25" s="28">
        <f t="shared" si="0"/>
        <v>45308</v>
      </c>
      <c r="B25" s="29">
        <f>+$B$22+1</f>
        <v>45308</v>
      </c>
      <c r="C25" s="30">
        <f t="shared" si="1"/>
        <v>45308</v>
      </c>
      <c r="D25" s="36">
        <f t="shared" si="3"/>
        <v>3</v>
      </c>
      <c r="E25" s="37">
        <v>8.5</v>
      </c>
      <c r="F25" s="38" t="s">
        <v>9</v>
      </c>
      <c r="G25" s="39" t="s">
        <v>10</v>
      </c>
      <c r="H25" s="39" t="s">
        <v>18</v>
      </c>
      <c r="I25" s="33"/>
      <c r="J25" s="35"/>
    </row>
    <row r="26" spans="1:10" x14ac:dyDescent="0.25">
      <c r="A26" s="28">
        <f t="shared" si="0"/>
        <v>45309</v>
      </c>
      <c r="B26" s="29">
        <f>+$B$25+1</f>
        <v>45309</v>
      </c>
      <c r="C26" s="30">
        <f t="shared" si="1"/>
        <v>45309</v>
      </c>
      <c r="D26" s="36">
        <f t="shared" si="3"/>
        <v>3</v>
      </c>
      <c r="E26" s="40">
        <v>7</v>
      </c>
      <c r="F26" s="41" t="s">
        <v>9</v>
      </c>
      <c r="G26" s="42" t="s">
        <v>10</v>
      </c>
      <c r="H26" s="42" t="s">
        <v>18</v>
      </c>
      <c r="I26" s="44"/>
      <c r="J26" s="35"/>
    </row>
    <row r="27" spans="1:10" x14ac:dyDescent="0.25">
      <c r="A27" s="28">
        <f t="shared" si="0"/>
        <v>45309</v>
      </c>
      <c r="B27" s="29">
        <f>+$B$25+1</f>
        <v>45309</v>
      </c>
      <c r="C27" s="30">
        <f t="shared" si="1"/>
        <v>45309</v>
      </c>
      <c r="D27" s="36">
        <f t="shared" si="3"/>
        <v>3</v>
      </c>
      <c r="E27" s="40">
        <v>1.5</v>
      </c>
      <c r="F27" s="41" t="s">
        <v>15</v>
      </c>
      <c r="G27" s="42" t="s">
        <v>16</v>
      </c>
      <c r="H27" s="42" t="s">
        <v>17</v>
      </c>
      <c r="I27" s="44"/>
      <c r="J27" s="35"/>
    </row>
    <row r="28" spans="1:10" x14ac:dyDescent="0.25">
      <c r="A28" s="28">
        <f t="shared" si="0"/>
        <v>45310</v>
      </c>
      <c r="B28" s="29">
        <f>+B26+1</f>
        <v>45310</v>
      </c>
      <c r="C28" s="30">
        <f t="shared" si="1"/>
        <v>45310</v>
      </c>
      <c r="D28" s="36">
        <f t="shared" si="3"/>
        <v>3</v>
      </c>
      <c r="E28" s="37">
        <v>6</v>
      </c>
      <c r="F28" s="38" t="s">
        <v>9</v>
      </c>
      <c r="G28" s="39" t="s">
        <v>10</v>
      </c>
      <c r="H28" s="39" t="s">
        <v>18</v>
      </c>
      <c r="I28" s="44"/>
      <c r="J28" s="35">
        <f>SUM(E21:E28)</f>
        <v>40</v>
      </c>
    </row>
    <row r="29" spans="1:10" x14ac:dyDescent="0.25">
      <c r="A29" s="28">
        <f t="shared" si="0"/>
        <v>45311</v>
      </c>
      <c r="B29" s="29">
        <f t="shared" si="4"/>
        <v>45311</v>
      </c>
      <c r="C29" s="30">
        <f t="shared" si="1"/>
        <v>45311</v>
      </c>
      <c r="D29" s="36">
        <f t="shared" si="3"/>
        <v>3</v>
      </c>
      <c r="E29" s="32"/>
      <c r="F29" s="33"/>
      <c r="G29" s="43"/>
      <c r="H29" s="43"/>
      <c r="I29" s="44"/>
      <c r="J29" s="35"/>
    </row>
    <row r="30" spans="1:10" x14ac:dyDescent="0.25">
      <c r="A30" s="28">
        <f t="shared" si="0"/>
        <v>45312</v>
      </c>
      <c r="B30" s="29">
        <f t="shared" si="4"/>
        <v>45312</v>
      </c>
      <c r="C30" s="30">
        <f t="shared" si="1"/>
        <v>45312</v>
      </c>
      <c r="D30" s="36">
        <f t="shared" si="3"/>
        <v>4</v>
      </c>
      <c r="E30" s="32"/>
      <c r="F30" s="33"/>
      <c r="G30" s="43"/>
      <c r="H30" s="43"/>
      <c r="I30" s="44"/>
      <c r="J30" s="35"/>
    </row>
    <row r="31" spans="1:10" x14ac:dyDescent="0.25">
      <c r="A31" s="28">
        <f t="shared" si="0"/>
        <v>45313</v>
      </c>
      <c r="B31" s="29">
        <f t="shared" si="4"/>
        <v>45313</v>
      </c>
      <c r="C31" s="30">
        <f t="shared" si="1"/>
        <v>45313</v>
      </c>
      <c r="D31" s="36">
        <f t="shared" si="3"/>
        <v>4</v>
      </c>
      <c r="E31" s="37">
        <v>8.5</v>
      </c>
      <c r="F31" s="38" t="s">
        <v>9</v>
      </c>
      <c r="G31" s="39" t="s">
        <v>10</v>
      </c>
      <c r="H31" s="39" t="s">
        <v>18</v>
      </c>
      <c r="I31" s="44"/>
      <c r="J31" s="35"/>
    </row>
    <row r="32" spans="1:10" x14ac:dyDescent="0.25">
      <c r="A32" s="28">
        <f t="shared" si="0"/>
        <v>45314</v>
      </c>
      <c r="B32" s="29">
        <f>+$B$31+1</f>
        <v>45314</v>
      </c>
      <c r="C32" s="30">
        <f t="shared" si="1"/>
        <v>45314</v>
      </c>
      <c r="D32" s="36">
        <f t="shared" si="3"/>
        <v>4</v>
      </c>
      <c r="E32" s="40">
        <v>1.5</v>
      </c>
      <c r="F32" s="41" t="s">
        <v>15</v>
      </c>
      <c r="G32" s="42" t="s">
        <v>16</v>
      </c>
      <c r="H32" s="42" t="s">
        <v>17</v>
      </c>
      <c r="I32" s="44"/>
      <c r="J32" s="35"/>
    </row>
    <row r="33" spans="1:10" x14ac:dyDescent="0.25">
      <c r="A33" s="28">
        <f t="shared" si="0"/>
        <v>45314</v>
      </c>
      <c r="B33" s="29">
        <f>+$B$31+1</f>
        <v>45314</v>
      </c>
      <c r="C33" s="30">
        <f t="shared" si="1"/>
        <v>45314</v>
      </c>
      <c r="D33" s="36">
        <f t="shared" si="3"/>
        <v>4</v>
      </c>
      <c r="E33" s="40">
        <v>7</v>
      </c>
      <c r="F33" s="41" t="s">
        <v>9</v>
      </c>
      <c r="G33" s="42" t="s">
        <v>10</v>
      </c>
      <c r="H33" s="42" t="s">
        <v>18</v>
      </c>
      <c r="I33" s="44"/>
      <c r="J33" s="35"/>
    </row>
    <row r="34" spans="1:10" x14ac:dyDescent="0.25">
      <c r="A34" s="28">
        <f t="shared" si="0"/>
        <v>45315</v>
      </c>
      <c r="B34" s="29">
        <f>+$B$32+1</f>
        <v>45315</v>
      </c>
      <c r="C34" s="30">
        <f t="shared" si="1"/>
        <v>45315</v>
      </c>
      <c r="D34" s="36">
        <f t="shared" si="3"/>
        <v>4</v>
      </c>
      <c r="E34" s="37">
        <v>1.5</v>
      </c>
      <c r="F34" s="38" t="s">
        <v>15</v>
      </c>
      <c r="G34" s="39" t="s">
        <v>19</v>
      </c>
      <c r="H34" s="39" t="s">
        <v>20</v>
      </c>
      <c r="I34" s="44"/>
      <c r="J34" s="35"/>
    </row>
    <row r="35" spans="1:10" x14ac:dyDescent="0.25">
      <c r="A35" s="28">
        <f t="shared" si="0"/>
        <v>45315</v>
      </c>
      <c r="B35" s="29">
        <f>+$B$32+1</f>
        <v>45315</v>
      </c>
      <c r="C35" s="30">
        <f t="shared" si="1"/>
        <v>45315</v>
      </c>
      <c r="D35" s="36">
        <f t="shared" si="3"/>
        <v>4</v>
      </c>
      <c r="E35" s="37">
        <v>7</v>
      </c>
      <c r="F35" s="38" t="s">
        <v>9</v>
      </c>
      <c r="G35" s="39" t="s">
        <v>10</v>
      </c>
      <c r="H35" s="39" t="s">
        <v>18</v>
      </c>
      <c r="I35" s="44"/>
      <c r="J35" s="35"/>
    </row>
    <row r="36" spans="1:10" x14ac:dyDescent="0.25">
      <c r="A36" s="28">
        <f t="shared" si="0"/>
        <v>45316</v>
      </c>
      <c r="B36" s="29">
        <f>+$B$34+1</f>
        <v>45316</v>
      </c>
      <c r="C36" s="30">
        <f t="shared" si="1"/>
        <v>45316</v>
      </c>
      <c r="D36" s="36">
        <f t="shared" si="3"/>
        <v>4</v>
      </c>
      <c r="E36" s="40">
        <v>1.5</v>
      </c>
      <c r="F36" s="41" t="s">
        <v>15</v>
      </c>
      <c r="G36" s="42" t="s">
        <v>16</v>
      </c>
      <c r="H36" s="42" t="s">
        <v>17</v>
      </c>
      <c r="I36" s="44"/>
      <c r="J36" s="35"/>
    </row>
    <row r="37" spans="1:10" x14ac:dyDescent="0.25">
      <c r="A37" s="28">
        <f t="shared" si="0"/>
        <v>45316</v>
      </c>
      <c r="B37" s="29">
        <f>+$B$34+1</f>
        <v>45316</v>
      </c>
      <c r="C37" s="30">
        <f t="shared" si="1"/>
        <v>45316</v>
      </c>
      <c r="D37" s="36">
        <f t="shared" si="3"/>
        <v>4</v>
      </c>
      <c r="E37" s="40">
        <v>7</v>
      </c>
      <c r="F37" s="41" t="s">
        <v>9</v>
      </c>
      <c r="G37" s="42" t="s">
        <v>10</v>
      </c>
      <c r="H37" s="42" t="s">
        <v>18</v>
      </c>
      <c r="I37" s="44"/>
      <c r="J37" s="35"/>
    </row>
    <row r="38" spans="1:10" x14ac:dyDescent="0.25">
      <c r="A38" s="28">
        <f t="shared" si="0"/>
        <v>45317</v>
      </c>
      <c r="B38" s="29">
        <f>+B36+1</f>
        <v>45317</v>
      </c>
      <c r="C38" s="30">
        <f t="shared" si="1"/>
        <v>45317</v>
      </c>
      <c r="D38" s="36">
        <f t="shared" si="3"/>
        <v>4</v>
      </c>
      <c r="E38" s="37">
        <v>6</v>
      </c>
      <c r="F38" s="38" t="s">
        <v>9</v>
      </c>
      <c r="G38" s="39" t="s">
        <v>10</v>
      </c>
      <c r="H38" s="39" t="s">
        <v>18</v>
      </c>
      <c r="I38" s="44"/>
      <c r="J38" s="35">
        <f>SUM(E31:E38)</f>
        <v>40</v>
      </c>
    </row>
    <row r="39" spans="1:10" x14ac:dyDescent="0.25">
      <c r="A39" s="28">
        <f t="shared" si="0"/>
        <v>45318</v>
      </c>
      <c r="B39" s="29">
        <f t="shared" si="4"/>
        <v>45318</v>
      </c>
      <c r="C39" s="30">
        <f t="shared" si="1"/>
        <v>45318</v>
      </c>
      <c r="D39" s="36">
        <f t="shared" si="3"/>
        <v>4</v>
      </c>
      <c r="E39" s="32"/>
      <c r="F39" s="33"/>
      <c r="G39" s="45"/>
      <c r="H39" s="45"/>
      <c r="I39" s="44"/>
      <c r="J39" s="35"/>
    </row>
    <row r="40" spans="1:10" x14ac:dyDescent="0.25">
      <c r="A40" s="28">
        <f t="shared" si="0"/>
        <v>45319</v>
      </c>
      <c r="B40" s="29">
        <f t="shared" si="4"/>
        <v>45319</v>
      </c>
      <c r="C40" s="30">
        <f t="shared" si="1"/>
        <v>45319</v>
      </c>
      <c r="D40" s="36">
        <f t="shared" si="3"/>
        <v>5</v>
      </c>
      <c r="E40" s="46"/>
      <c r="F40" s="33"/>
      <c r="G40" s="45"/>
      <c r="H40" s="45"/>
      <c r="I40" s="44"/>
      <c r="J40" s="35"/>
    </row>
    <row r="41" spans="1:10" x14ac:dyDescent="0.25">
      <c r="A41" s="28">
        <f t="shared" si="0"/>
        <v>45320</v>
      </c>
      <c r="B41" s="29">
        <f t="shared" si="4"/>
        <v>45320</v>
      </c>
      <c r="C41" s="30">
        <f t="shared" si="1"/>
        <v>45320</v>
      </c>
      <c r="D41" s="36">
        <f t="shared" si="3"/>
        <v>5</v>
      </c>
      <c r="E41" s="37">
        <v>8.5</v>
      </c>
      <c r="F41" s="38" t="s">
        <v>9</v>
      </c>
      <c r="G41" s="39" t="s">
        <v>10</v>
      </c>
      <c r="H41" s="39" t="s">
        <v>18</v>
      </c>
      <c r="I41" s="44"/>
      <c r="J41" s="35"/>
    </row>
    <row r="42" spans="1:10" x14ac:dyDescent="0.25">
      <c r="A42" s="28">
        <f t="shared" si="0"/>
        <v>45321</v>
      </c>
      <c r="B42" s="29">
        <f>+$B$41+1</f>
        <v>45321</v>
      </c>
      <c r="C42" s="30">
        <f t="shared" si="1"/>
        <v>45321</v>
      </c>
      <c r="D42" s="36">
        <f t="shared" si="3"/>
        <v>5</v>
      </c>
      <c r="E42" s="40">
        <v>1.5</v>
      </c>
      <c r="F42" s="41" t="s">
        <v>15</v>
      </c>
      <c r="G42" s="42" t="s">
        <v>16</v>
      </c>
      <c r="H42" s="42" t="s">
        <v>17</v>
      </c>
      <c r="I42" s="44"/>
      <c r="J42" s="35"/>
    </row>
    <row r="43" spans="1:10" x14ac:dyDescent="0.25">
      <c r="A43" s="28">
        <f t="shared" si="0"/>
        <v>45321</v>
      </c>
      <c r="B43" s="29">
        <f>+$B$41+1</f>
        <v>45321</v>
      </c>
      <c r="C43" s="30">
        <f t="shared" si="1"/>
        <v>45321</v>
      </c>
      <c r="D43" s="36">
        <f t="shared" si="3"/>
        <v>5</v>
      </c>
      <c r="E43" s="40">
        <v>7</v>
      </c>
      <c r="F43" s="41" t="s">
        <v>9</v>
      </c>
      <c r="G43" s="42" t="s">
        <v>10</v>
      </c>
      <c r="H43" s="42" t="s">
        <v>18</v>
      </c>
      <c r="I43" s="44"/>
      <c r="J43" s="35"/>
    </row>
    <row r="44" spans="1:10" x14ac:dyDescent="0.25">
      <c r="A44" s="28">
        <f t="shared" si="0"/>
        <v>45322</v>
      </c>
      <c r="B44" s="29">
        <f>+$B$42+1</f>
        <v>45322</v>
      </c>
      <c r="C44" s="30">
        <f t="shared" si="1"/>
        <v>45322</v>
      </c>
      <c r="D44" s="36">
        <f t="shared" si="3"/>
        <v>5</v>
      </c>
      <c r="E44" s="37">
        <v>1</v>
      </c>
      <c r="F44" s="38" t="s">
        <v>15</v>
      </c>
      <c r="G44" s="39" t="s">
        <v>19</v>
      </c>
      <c r="H44" s="39" t="s">
        <v>20</v>
      </c>
      <c r="I44" s="44"/>
      <c r="J44" s="35"/>
    </row>
    <row r="45" spans="1:10" x14ac:dyDescent="0.25">
      <c r="A45" s="28">
        <f t="shared" si="0"/>
        <v>45322</v>
      </c>
      <c r="B45" s="29">
        <f>+$B$42+1</f>
        <v>45322</v>
      </c>
      <c r="C45" s="30">
        <f t="shared" si="1"/>
        <v>45322</v>
      </c>
      <c r="D45" s="36">
        <f t="shared" si="3"/>
        <v>5</v>
      </c>
      <c r="E45" s="37">
        <v>1</v>
      </c>
      <c r="F45" s="38" t="s">
        <v>15</v>
      </c>
      <c r="G45" s="39" t="s">
        <v>19</v>
      </c>
      <c r="H45" s="39" t="s">
        <v>21</v>
      </c>
      <c r="I45" s="44"/>
      <c r="J45" s="35"/>
    </row>
    <row r="46" spans="1:10" x14ac:dyDescent="0.25">
      <c r="A46" s="28">
        <f t="shared" si="0"/>
        <v>45322</v>
      </c>
      <c r="B46" s="29">
        <f>+$B$42+1</f>
        <v>45322</v>
      </c>
      <c r="C46" s="30">
        <f t="shared" si="1"/>
        <v>45322</v>
      </c>
      <c r="D46" s="36">
        <f t="shared" si="3"/>
        <v>5</v>
      </c>
      <c r="E46" s="37">
        <v>6.5</v>
      </c>
      <c r="F46" s="38" t="s">
        <v>9</v>
      </c>
      <c r="G46" s="39" t="s">
        <v>10</v>
      </c>
      <c r="H46" s="39" t="s">
        <v>18</v>
      </c>
      <c r="I46" s="44"/>
      <c r="J46" s="35"/>
    </row>
    <row r="47" spans="1:10" x14ac:dyDescent="0.25">
      <c r="A47" s="28">
        <f t="shared" si="0"/>
        <v>45323</v>
      </c>
      <c r="B47" s="29">
        <f>+$B$44+1</f>
        <v>45323</v>
      </c>
      <c r="C47" s="30">
        <f t="shared" si="1"/>
        <v>45323</v>
      </c>
      <c r="D47" s="36">
        <f t="shared" si="3"/>
        <v>5</v>
      </c>
      <c r="E47" s="47">
        <v>1.5</v>
      </c>
      <c r="F47" s="48" t="s">
        <v>15</v>
      </c>
      <c r="G47" s="49" t="s">
        <v>16</v>
      </c>
      <c r="H47" s="49" t="s">
        <v>22</v>
      </c>
      <c r="I47" s="44"/>
      <c r="J47" s="35"/>
    </row>
    <row r="48" spans="1:10" x14ac:dyDescent="0.25">
      <c r="A48" s="28">
        <f t="shared" si="0"/>
        <v>45323</v>
      </c>
      <c r="B48" s="29">
        <f>+$B$44+1</f>
        <v>45323</v>
      </c>
      <c r="C48" s="30">
        <f t="shared" si="1"/>
        <v>45323</v>
      </c>
      <c r="D48" s="36">
        <f t="shared" si="3"/>
        <v>5</v>
      </c>
      <c r="E48" s="40">
        <v>2</v>
      </c>
      <c r="F48" s="41" t="s">
        <v>23</v>
      </c>
      <c r="G48" s="42" t="s">
        <v>24</v>
      </c>
      <c r="H48" s="42" t="s">
        <v>25</v>
      </c>
      <c r="I48" s="44"/>
      <c r="J48" s="35"/>
    </row>
    <row r="49" spans="1:10" x14ac:dyDescent="0.25">
      <c r="A49" s="28">
        <f t="shared" si="0"/>
        <v>45323</v>
      </c>
      <c r="B49" s="29">
        <f>+$B$44+1</f>
        <v>45323</v>
      </c>
      <c r="C49" s="30">
        <f t="shared" si="1"/>
        <v>45323</v>
      </c>
      <c r="D49" s="36">
        <f t="shared" si="3"/>
        <v>5</v>
      </c>
      <c r="E49" s="40">
        <v>5</v>
      </c>
      <c r="F49" s="41" t="s">
        <v>9</v>
      </c>
      <c r="G49" s="42" t="s">
        <v>10</v>
      </c>
      <c r="H49" s="42" t="s">
        <v>18</v>
      </c>
      <c r="I49" s="44"/>
      <c r="J49" s="35"/>
    </row>
    <row r="50" spans="1:10" x14ac:dyDescent="0.25">
      <c r="A50" s="28">
        <f t="shared" si="0"/>
        <v>45324</v>
      </c>
      <c r="B50" s="29">
        <f>+B47+1</f>
        <v>45324</v>
      </c>
      <c r="C50" s="30">
        <f t="shared" si="1"/>
        <v>45324</v>
      </c>
      <c r="D50" s="36">
        <f t="shared" si="3"/>
        <v>5</v>
      </c>
      <c r="E50" s="37">
        <v>6</v>
      </c>
      <c r="F50" s="38" t="s">
        <v>6</v>
      </c>
      <c r="G50" s="39" t="s">
        <v>7</v>
      </c>
      <c r="H50" s="39" t="s">
        <v>8</v>
      </c>
      <c r="I50" s="44"/>
      <c r="J50" s="35">
        <f>SUM(E41:E50)</f>
        <v>40</v>
      </c>
    </row>
    <row r="51" spans="1:10" x14ac:dyDescent="0.25">
      <c r="A51" s="28">
        <f t="shared" si="0"/>
        <v>45325</v>
      </c>
      <c r="B51" s="29">
        <f t="shared" si="4"/>
        <v>45325</v>
      </c>
      <c r="C51" s="30">
        <f t="shared" si="1"/>
        <v>45325</v>
      </c>
      <c r="D51" s="36">
        <f t="shared" si="3"/>
        <v>5</v>
      </c>
      <c r="E51" s="32"/>
      <c r="F51" s="33"/>
      <c r="G51" s="43"/>
      <c r="H51" s="43"/>
      <c r="I51" s="44"/>
      <c r="J51" s="35"/>
    </row>
    <row r="52" spans="1:10" x14ac:dyDescent="0.25">
      <c r="A52" s="28">
        <f t="shared" si="0"/>
        <v>45326</v>
      </c>
      <c r="B52" s="29">
        <f t="shared" si="4"/>
        <v>45326</v>
      </c>
      <c r="C52" s="30">
        <f t="shared" si="1"/>
        <v>45326</v>
      </c>
      <c r="D52" s="36">
        <f t="shared" si="3"/>
        <v>6</v>
      </c>
      <c r="E52" s="32"/>
      <c r="F52" s="33"/>
      <c r="G52" s="43"/>
      <c r="H52" s="43"/>
      <c r="I52" s="44"/>
      <c r="J52" s="35"/>
    </row>
    <row r="53" spans="1:10" x14ac:dyDescent="0.25">
      <c r="A53" s="28">
        <f t="shared" si="0"/>
        <v>45327</v>
      </c>
      <c r="B53" s="29">
        <f>+$B$52+1</f>
        <v>45327</v>
      </c>
      <c r="C53" s="30">
        <f t="shared" si="1"/>
        <v>45327</v>
      </c>
      <c r="D53" s="36">
        <f t="shared" si="3"/>
        <v>6</v>
      </c>
      <c r="E53" s="37">
        <v>7</v>
      </c>
      <c r="F53" s="38" t="s">
        <v>6</v>
      </c>
      <c r="G53" s="39" t="s">
        <v>7</v>
      </c>
      <c r="H53" s="39" t="s">
        <v>8</v>
      </c>
      <c r="I53" s="44"/>
      <c r="J53" s="35"/>
    </row>
    <row r="54" spans="1:10" x14ac:dyDescent="0.25">
      <c r="A54" s="28">
        <f t="shared" si="0"/>
        <v>45327</v>
      </c>
      <c r="B54" s="29">
        <f>+$B$52+1</f>
        <v>45327</v>
      </c>
      <c r="C54" s="30">
        <f t="shared" si="1"/>
        <v>45327</v>
      </c>
      <c r="D54" s="36">
        <f t="shared" si="3"/>
        <v>6</v>
      </c>
      <c r="E54" s="37">
        <v>1.5</v>
      </c>
      <c r="F54" s="38" t="s">
        <v>9</v>
      </c>
      <c r="G54" s="39" t="s">
        <v>10</v>
      </c>
      <c r="H54" s="39" t="s">
        <v>18</v>
      </c>
      <c r="I54" s="44"/>
      <c r="J54" s="35"/>
    </row>
    <row r="55" spans="1:10" x14ac:dyDescent="0.25">
      <c r="A55" s="28">
        <f t="shared" si="0"/>
        <v>45328</v>
      </c>
      <c r="B55" s="29">
        <f>+$B$53+1</f>
        <v>45328</v>
      </c>
      <c r="C55" s="30">
        <f t="shared" si="1"/>
        <v>45328</v>
      </c>
      <c r="D55" s="36">
        <f t="shared" si="3"/>
        <v>6</v>
      </c>
      <c r="E55" s="40">
        <v>1.5</v>
      </c>
      <c r="F55" s="41" t="s">
        <v>15</v>
      </c>
      <c r="G55" s="42" t="s">
        <v>16</v>
      </c>
      <c r="H55" s="42" t="s">
        <v>17</v>
      </c>
      <c r="I55" s="44"/>
      <c r="J55" s="35"/>
    </row>
    <row r="56" spans="1:10" x14ac:dyDescent="0.25">
      <c r="A56" s="28">
        <f t="shared" si="0"/>
        <v>45328</v>
      </c>
      <c r="B56" s="29">
        <f>+$B$53+1</f>
        <v>45328</v>
      </c>
      <c r="C56" s="30">
        <f t="shared" si="1"/>
        <v>45328</v>
      </c>
      <c r="D56" s="36">
        <f t="shared" si="3"/>
        <v>6</v>
      </c>
      <c r="E56" s="40">
        <v>5</v>
      </c>
      <c r="F56" s="41" t="s">
        <v>6</v>
      </c>
      <c r="G56" s="42" t="s">
        <v>26</v>
      </c>
      <c r="H56" s="42" t="s">
        <v>27</v>
      </c>
      <c r="I56" s="44"/>
      <c r="J56" s="35"/>
    </row>
    <row r="57" spans="1:10" x14ac:dyDescent="0.25">
      <c r="A57" s="28">
        <f t="shared" si="0"/>
        <v>45328</v>
      </c>
      <c r="B57" s="29">
        <f>+$B$53+1</f>
        <v>45328</v>
      </c>
      <c r="C57" s="30">
        <f t="shared" si="1"/>
        <v>45328</v>
      </c>
      <c r="D57" s="36">
        <f t="shared" si="3"/>
        <v>6</v>
      </c>
      <c r="E57" s="40">
        <v>2</v>
      </c>
      <c r="F57" s="41" t="s">
        <v>9</v>
      </c>
      <c r="G57" s="42" t="s">
        <v>10</v>
      </c>
      <c r="H57" s="42" t="s">
        <v>18</v>
      </c>
      <c r="I57" s="44"/>
      <c r="J57" s="35"/>
    </row>
    <row r="58" spans="1:10" x14ac:dyDescent="0.25">
      <c r="A58" s="28">
        <f t="shared" si="0"/>
        <v>45329</v>
      </c>
      <c r="B58" s="29">
        <f>+$B$55+1</f>
        <v>45329</v>
      </c>
      <c r="C58" s="30">
        <f t="shared" si="1"/>
        <v>45329</v>
      </c>
      <c r="D58" s="36">
        <f t="shared" si="3"/>
        <v>6</v>
      </c>
      <c r="E58" s="37">
        <v>1</v>
      </c>
      <c r="F58" s="38" t="s">
        <v>15</v>
      </c>
      <c r="G58" s="39" t="s">
        <v>19</v>
      </c>
      <c r="H58" s="39" t="s">
        <v>20</v>
      </c>
      <c r="I58" s="44"/>
      <c r="J58" s="35"/>
    </row>
    <row r="59" spans="1:10" x14ac:dyDescent="0.25">
      <c r="A59" s="28">
        <f t="shared" si="0"/>
        <v>45329</v>
      </c>
      <c r="B59" s="29">
        <f>+$B$55+1</f>
        <v>45329</v>
      </c>
      <c r="C59" s="30">
        <f t="shared" si="1"/>
        <v>45329</v>
      </c>
      <c r="D59" s="36">
        <f t="shared" si="3"/>
        <v>6</v>
      </c>
      <c r="E59" s="37">
        <v>7.5</v>
      </c>
      <c r="F59" s="38" t="s">
        <v>6</v>
      </c>
      <c r="G59" s="39" t="s">
        <v>26</v>
      </c>
      <c r="H59" s="39" t="s">
        <v>27</v>
      </c>
      <c r="I59" s="44"/>
      <c r="J59" s="35"/>
    </row>
    <row r="60" spans="1:10" x14ac:dyDescent="0.25">
      <c r="A60" s="28">
        <f t="shared" si="0"/>
        <v>45330</v>
      </c>
      <c r="B60" s="29">
        <f>+$B$58+1</f>
        <v>45330</v>
      </c>
      <c r="C60" s="30">
        <f t="shared" si="1"/>
        <v>45330</v>
      </c>
      <c r="D60" s="36">
        <f t="shared" si="3"/>
        <v>6</v>
      </c>
      <c r="E60" s="40">
        <v>1.5</v>
      </c>
      <c r="F60" s="41" t="s">
        <v>15</v>
      </c>
      <c r="G60" s="42" t="s">
        <v>16</v>
      </c>
      <c r="H60" s="42" t="s">
        <v>17</v>
      </c>
      <c r="I60" s="44"/>
      <c r="J60" s="35"/>
    </row>
    <row r="61" spans="1:10" x14ac:dyDescent="0.25">
      <c r="A61" s="28">
        <f t="shared" si="0"/>
        <v>45330</v>
      </c>
      <c r="B61" s="29">
        <f>+$B$58+1</f>
        <v>45330</v>
      </c>
      <c r="C61" s="30">
        <f t="shared" si="1"/>
        <v>45330</v>
      </c>
      <c r="D61" s="36">
        <f t="shared" si="3"/>
        <v>6</v>
      </c>
      <c r="E61" s="40">
        <v>7</v>
      </c>
      <c r="F61" s="41" t="s">
        <v>6</v>
      </c>
      <c r="G61" s="42" t="s">
        <v>26</v>
      </c>
      <c r="H61" s="42" t="s">
        <v>27</v>
      </c>
      <c r="I61" s="44"/>
      <c r="J61" s="35"/>
    </row>
    <row r="62" spans="1:10" x14ac:dyDescent="0.25">
      <c r="A62" s="28">
        <f t="shared" si="0"/>
        <v>45331</v>
      </c>
      <c r="B62" s="29">
        <f>+B60+1</f>
        <v>45331</v>
      </c>
      <c r="C62" s="30">
        <f t="shared" si="1"/>
        <v>45331</v>
      </c>
      <c r="D62" s="36">
        <f t="shared" si="3"/>
        <v>6</v>
      </c>
      <c r="E62" s="37">
        <v>6</v>
      </c>
      <c r="F62" s="38" t="s">
        <v>6</v>
      </c>
      <c r="G62" s="39" t="s">
        <v>26</v>
      </c>
      <c r="H62" s="39" t="s">
        <v>27</v>
      </c>
      <c r="I62" s="44"/>
      <c r="J62" s="35">
        <f>SUM(E53:E62)</f>
        <v>40</v>
      </c>
    </row>
    <row r="63" spans="1:10" x14ac:dyDescent="0.25">
      <c r="A63" s="28">
        <f t="shared" si="0"/>
        <v>45332</v>
      </c>
      <c r="B63" s="29">
        <f t="shared" si="4"/>
        <v>45332</v>
      </c>
      <c r="C63" s="30">
        <f t="shared" si="1"/>
        <v>45332</v>
      </c>
      <c r="D63" s="36">
        <f t="shared" si="3"/>
        <v>6</v>
      </c>
      <c r="E63" s="32"/>
      <c r="F63" s="33"/>
      <c r="G63" s="43"/>
      <c r="H63" s="43"/>
      <c r="I63" s="44"/>
      <c r="J63" s="35"/>
    </row>
    <row r="64" spans="1:10" x14ac:dyDescent="0.25">
      <c r="A64" s="28">
        <f t="shared" si="0"/>
        <v>45333</v>
      </c>
      <c r="B64" s="29">
        <f t="shared" si="4"/>
        <v>45333</v>
      </c>
      <c r="C64" s="30">
        <f t="shared" si="1"/>
        <v>45333</v>
      </c>
      <c r="D64" s="36">
        <f t="shared" si="3"/>
        <v>7</v>
      </c>
      <c r="E64" s="32"/>
      <c r="F64" s="33"/>
      <c r="G64" s="43"/>
      <c r="H64" s="43"/>
      <c r="I64" s="44"/>
      <c r="J64" s="35"/>
    </row>
    <row r="65" spans="1:10" x14ac:dyDescent="0.25">
      <c r="A65" s="28">
        <f t="shared" si="0"/>
        <v>45334</v>
      </c>
      <c r="B65" s="29">
        <f>+$B$64+1</f>
        <v>45334</v>
      </c>
      <c r="C65" s="30">
        <f t="shared" si="1"/>
        <v>45334</v>
      </c>
      <c r="D65" s="36">
        <f t="shared" si="3"/>
        <v>7</v>
      </c>
      <c r="E65" s="37">
        <v>3</v>
      </c>
      <c r="F65" s="38" t="s">
        <v>6</v>
      </c>
      <c r="G65" s="39" t="s">
        <v>26</v>
      </c>
      <c r="H65" s="39" t="s">
        <v>27</v>
      </c>
      <c r="I65" s="44"/>
      <c r="J65" s="35"/>
    </row>
    <row r="66" spans="1:10" x14ac:dyDescent="0.25">
      <c r="A66" s="28">
        <f t="shared" si="0"/>
        <v>45334</v>
      </c>
      <c r="B66" s="29">
        <f>+$B$64+1</f>
        <v>45334</v>
      </c>
      <c r="C66" s="30">
        <f t="shared" si="1"/>
        <v>45334</v>
      </c>
      <c r="D66" s="36">
        <f t="shared" si="3"/>
        <v>7</v>
      </c>
      <c r="E66" s="37">
        <v>5.5</v>
      </c>
      <c r="F66" s="38" t="s">
        <v>9</v>
      </c>
      <c r="G66" s="39" t="s">
        <v>10</v>
      </c>
      <c r="H66" s="39" t="s">
        <v>18</v>
      </c>
      <c r="I66" s="44"/>
      <c r="J66" s="35"/>
    </row>
    <row r="67" spans="1:10" x14ac:dyDescent="0.25">
      <c r="A67" s="28">
        <f t="shared" si="0"/>
        <v>45335</v>
      </c>
      <c r="B67" s="29">
        <f>+$B$65+1</f>
        <v>45335</v>
      </c>
      <c r="C67" s="30">
        <f t="shared" si="1"/>
        <v>45335</v>
      </c>
      <c r="D67" s="36">
        <f t="shared" si="3"/>
        <v>7</v>
      </c>
      <c r="E67" s="40">
        <v>1.5</v>
      </c>
      <c r="F67" s="41" t="s">
        <v>15</v>
      </c>
      <c r="G67" s="42" t="s">
        <v>16</v>
      </c>
      <c r="H67" s="42" t="s">
        <v>17</v>
      </c>
      <c r="I67" s="44"/>
      <c r="J67" s="35"/>
    </row>
    <row r="68" spans="1:10" x14ac:dyDescent="0.25">
      <c r="A68" s="28">
        <f t="shared" si="0"/>
        <v>45335</v>
      </c>
      <c r="B68" s="29">
        <f>+$B$65+1</f>
        <v>45335</v>
      </c>
      <c r="C68" s="30">
        <f t="shared" si="1"/>
        <v>45335</v>
      </c>
      <c r="D68" s="36">
        <f t="shared" si="3"/>
        <v>7</v>
      </c>
      <c r="E68" s="40">
        <v>1.5</v>
      </c>
      <c r="F68" s="41" t="s">
        <v>15</v>
      </c>
      <c r="G68" s="42" t="s">
        <v>19</v>
      </c>
      <c r="H68" s="42" t="s">
        <v>28</v>
      </c>
      <c r="I68" s="44"/>
      <c r="J68" s="35"/>
    </row>
    <row r="69" spans="1:10" x14ac:dyDescent="0.25">
      <c r="A69" s="28">
        <f t="shared" ref="A69:A132" si="8">B69</f>
        <v>45335</v>
      </c>
      <c r="B69" s="29">
        <f>+$B$65+1</f>
        <v>45335</v>
      </c>
      <c r="C69" s="30">
        <f t="shared" ref="C69:C132" si="9">B69</f>
        <v>45335</v>
      </c>
      <c r="D69" s="36">
        <f t="shared" si="3"/>
        <v>7</v>
      </c>
      <c r="E69" s="40">
        <v>5.5</v>
      </c>
      <c r="F69" s="41" t="s">
        <v>6</v>
      </c>
      <c r="G69" s="42" t="s">
        <v>26</v>
      </c>
      <c r="H69" s="42" t="s">
        <v>27</v>
      </c>
      <c r="I69" s="44"/>
      <c r="J69" s="35"/>
    </row>
    <row r="70" spans="1:10" x14ac:dyDescent="0.25">
      <c r="A70" s="28">
        <f t="shared" si="8"/>
        <v>45336</v>
      </c>
      <c r="B70" s="29">
        <f>+B67+1</f>
        <v>45336</v>
      </c>
      <c r="C70" s="30">
        <f t="shared" si="9"/>
        <v>45336</v>
      </c>
      <c r="D70" s="36">
        <f t="shared" ref="D70:D171" si="10">WEEKNUM(A70)</f>
        <v>7</v>
      </c>
      <c r="E70" s="37">
        <v>8.5</v>
      </c>
      <c r="F70" s="38" t="s">
        <v>6</v>
      </c>
      <c r="G70" s="39" t="s">
        <v>26</v>
      </c>
      <c r="H70" s="39" t="s">
        <v>27</v>
      </c>
      <c r="I70" s="44"/>
      <c r="J70" s="35"/>
    </row>
    <row r="71" spans="1:10" x14ac:dyDescent="0.25">
      <c r="A71" s="28">
        <f t="shared" si="8"/>
        <v>45337</v>
      </c>
      <c r="B71" s="29">
        <f>+$B$70+1</f>
        <v>45337</v>
      </c>
      <c r="C71" s="30">
        <f t="shared" si="9"/>
        <v>45337</v>
      </c>
      <c r="D71" s="36">
        <f t="shared" si="10"/>
        <v>7</v>
      </c>
      <c r="E71" s="40">
        <v>1.5</v>
      </c>
      <c r="F71" s="41" t="s">
        <v>15</v>
      </c>
      <c r="G71" s="42" t="s">
        <v>16</v>
      </c>
      <c r="H71" s="42" t="s">
        <v>17</v>
      </c>
      <c r="I71" s="44"/>
      <c r="J71" s="35"/>
    </row>
    <row r="72" spans="1:10" x14ac:dyDescent="0.25">
      <c r="A72" s="28">
        <f t="shared" si="8"/>
        <v>45337</v>
      </c>
      <c r="B72" s="29">
        <f>+$B$70+1</f>
        <v>45337</v>
      </c>
      <c r="C72" s="30">
        <f t="shared" si="9"/>
        <v>45337</v>
      </c>
      <c r="D72" s="36">
        <f t="shared" si="10"/>
        <v>7</v>
      </c>
      <c r="E72" s="40">
        <v>7</v>
      </c>
      <c r="F72" s="41" t="s">
        <v>6</v>
      </c>
      <c r="G72" s="42" t="s">
        <v>26</v>
      </c>
      <c r="H72" s="42" t="s">
        <v>27</v>
      </c>
      <c r="I72" s="44"/>
      <c r="J72" s="35"/>
    </row>
    <row r="73" spans="1:10" x14ac:dyDescent="0.25">
      <c r="A73" s="28">
        <f t="shared" si="8"/>
        <v>45338</v>
      </c>
      <c r="B73" s="29">
        <f>+$B$71+1</f>
        <v>45338</v>
      </c>
      <c r="C73" s="30">
        <f t="shared" si="9"/>
        <v>45338</v>
      </c>
      <c r="D73" s="36">
        <f t="shared" si="10"/>
        <v>7</v>
      </c>
      <c r="E73" s="37">
        <v>3</v>
      </c>
      <c r="F73" s="38" t="s">
        <v>6</v>
      </c>
      <c r="G73" s="39" t="s">
        <v>26</v>
      </c>
      <c r="H73" s="39" t="s">
        <v>27</v>
      </c>
      <c r="I73" s="44"/>
      <c r="J73" s="35"/>
    </row>
    <row r="74" spans="1:10" x14ac:dyDescent="0.25">
      <c r="A74" s="28">
        <f t="shared" si="8"/>
        <v>45338</v>
      </c>
      <c r="B74" s="29">
        <f>+$B$71+1</f>
        <v>45338</v>
      </c>
      <c r="C74" s="30">
        <f t="shared" si="9"/>
        <v>45338</v>
      </c>
      <c r="D74" s="36">
        <f t="shared" si="10"/>
        <v>7</v>
      </c>
      <c r="E74" s="37">
        <v>3</v>
      </c>
      <c r="F74" s="38" t="s">
        <v>9</v>
      </c>
      <c r="G74" s="39" t="s">
        <v>10</v>
      </c>
      <c r="H74" s="39" t="s">
        <v>18</v>
      </c>
      <c r="I74" s="44"/>
      <c r="J74" s="35">
        <f>SUM(E65:E74)</f>
        <v>40</v>
      </c>
    </row>
    <row r="75" spans="1:10" x14ac:dyDescent="0.25">
      <c r="A75" s="28">
        <f t="shared" si="8"/>
        <v>45339</v>
      </c>
      <c r="B75" s="29">
        <f>+B73+1</f>
        <v>45339</v>
      </c>
      <c r="C75" s="30">
        <f t="shared" si="9"/>
        <v>45339</v>
      </c>
      <c r="D75" s="36">
        <f t="shared" si="10"/>
        <v>7</v>
      </c>
      <c r="E75" s="32"/>
      <c r="F75" s="33"/>
      <c r="G75" s="43"/>
      <c r="H75" s="43"/>
      <c r="I75" s="44"/>
      <c r="J75" s="35"/>
    </row>
    <row r="76" spans="1:10" x14ac:dyDescent="0.25">
      <c r="A76" s="28">
        <f t="shared" si="8"/>
        <v>45340</v>
      </c>
      <c r="B76" s="29">
        <f t="shared" ref="B76:B103" si="11">+B75+1</f>
        <v>45340</v>
      </c>
      <c r="C76" s="30">
        <f t="shared" si="9"/>
        <v>45340</v>
      </c>
      <c r="D76" s="36">
        <f t="shared" si="10"/>
        <v>8</v>
      </c>
      <c r="E76" s="32"/>
      <c r="F76" s="33"/>
      <c r="G76" s="43"/>
      <c r="H76" s="43"/>
      <c r="I76" s="44"/>
      <c r="J76" s="35"/>
    </row>
    <row r="77" spans="1:10" x14ac:dyDescent="0.25">
      <c r="A77" s="28">
        <f t="shared" si="8"/>
        <v>45341</v>
      </c>
      <c r="B77" s="29">
        <f>+$B$76+1</f>
        <v>45341</v>
      </c>
      <c r="C77" s="30">
        <f t="shared" si="9"/>
        <v>45341</v>
      </c>
      <c r="D77" s="36">
        <f t="shared" si="10"/>
        <v>8</v>
      </c>
      <c r="E77" s="37">
        <v>2</v>
      </c>
      <c r="F77" s="38" t="s">
        <v>6</v>
      </c>
      <c r="G77" s="39" t="s">
        <v>26</v>
      </c>
      <c r="H77" s="39" t="s">
        <v>27</v>
      </c>
      <c r="I77" s="44"/>
      <c r="J77" s="35"/>
    </row>
    <row r="78" spans="1:10" x14ac:dyDescent="0.25">
      <c r="A78" s="28">
        <f t="shared" si="8"/>
        <v>45341</v>
      </c>
      <c r="B78" s="29">
        <f>+$B$76+1</f>
        <v>45341</v>
      </c>
      <c r="C78" s="30">
        <f t="shared" si="9"/>
        <v>45341</v>
      </c>
      <c r="D78" s="36">
        <f t="shared" si="10"/>
        <v>8</v>
      </c>
      <c r="E78" s="37">
        <v>6.5</v>
      </c>
      <c r="F78" s="38" t="s">
        <v>9</v>
      </c>
      <c r="G78" s="39" t="s">
        <v>10</v>
      </c>
      <c r="H78" s="39" t="s">
        <v>18</v>
      </c>
      <c r="I78" s="44"/>
      <c r="J78" s="35"/>
    </row>
    <row r="79" spans="1:10" x14ac:dyDescent="0.25">
      <c r="A79" s="28">
        <f t="shared" si="8"/>
        <v>45342</v>
      </c>
      <c r="B79" s="29">
        <f>+$B$77+1</f>
        <v>45342</v>
      </c>
      <c r="C79" s="30">
        <f t="shared" si="9"/>
        <v>45342</v>
      </c>
      <c r="D79" s="36">
        <f t="shared" si="10"/>
        <v>8</v>
      </c>
      <c r="E79" s="47">
        <v>0</v>
      </c>
      <c r="F79" s="48" t="s">
        <v>15</v>
      </c>
      <c r="G79" s="49" t="s">
        <v>16</v>
      </c>
      <c r="H79" s="49" t="s">
        <v>22</v>
      </c>
      <c r="I79" s="44"/>
      <c r="J79" s="35"/>
    </row>
    <row r="80" spans="1:10" x14ac:dyDescent="0.25">
      <c r="A80" s="28">
        <f t="shared" si="8"/>
        <v>45342</v>
      </c>
      <c r="B80" s="29">
        <f t="shared" ref="B80:B82" si="12">+$B$77+1</f>
        <v>45342</v>
      </c>
      <c r="C80" s="30">
        <f t="shared" si="9"/>
        <v>45342</v>
      </c>
      <c r="D80" s="36">
        <f t="shared" si="10"/>
        <v>8</v>
      </c>
      <c r="E80" s="40">
        <v>3</v>
      </c>
      <c r="F80" s="41" t="s">
        <v>23</v>
      </c>
      <c r="G80" s="42" t="s">
        <v>24</v>
      </c>
      <c r="H80" s="42" t="s">
        <v>29</v>
      </c>
      <c r="I80" s="44"/>
      <c r="J80" s="35"/>
    </row>
    <row r="81" spans="1:10" x14ac:dyDescent="0.25">
      <c r="A81" s="28">
        <f t="shared" si="8"/>
        <v>45342</v>
      </c>
      <c r="B81" s="29">
        <f t="shared" si="12"/>
        <v>45342</v>
      </c>
      <c r="C81" s="30">
        <f t="shared" si="9"/>
        <v>45342</v>
      </c>
      <c r="D81" s="36">
        <f t="shared" si="10"/>
        <v>8</v>
      </c>
      <c r="E81" s="40">
        <v>3</v>
      </c>
      <c r="F81" s="41" t="s">
        <v>6</v>
      </c>
      <c r="G81" s="42" t="s">
        <v>26</v>
      </c>
      <c r="H81" s="42" t="s">
        <v>27</v>
      </c>
      <c r="I81" s="44"/>
      <c r="J81" s="35"/>
    </row>
    <row r="82" spans="1:10" x14ac:dyDescent="0.25">
      <c r="A82" s="28">
        <f t="shared" si="8"/>
        <v>45342</v>
      </c>
      <c r="B82" s="29">
        <f t="shared" si="12"/>
        <v>45342</v>
      </c>
      <c r="C82" s="30">
        <f t="shared" si="9"/>
        <v>45342</v>
      </c>
      <c r="D82" s="36">
        <f t="shared" si="10"/>
        <v>8</v>
      </c>
      <c r="E82" s="40">
        <v>2.5</v>
      </c>
      <c r="F82" s="41" t="s">
        <v>9</v>
      </c>
      <c r="G82" s="42" t="s">
        <v>10</v>
      </c>
      <c r="H82" s="42" t="s">
        <v>18</v>
      </c>
      <c r="I82" s="44"/>
      <c r="J82" s="35"/>
    </row>
    <row r="83" spans="1:10" x14ac:dyDescent="0.25">
      <c r="A83" s="28">
        <f t="shared" si="8"/>
        <v>45343</v>
      </c>
      <c r="B83" s="29">
        <f>+$B$79+1</f>
        <v>45343</v>
      </c>
      <c r="C83" s="30">
        <f t="shared" si="9"/>
        <v>45343</v>
      </c>
      <c r="D83" s="36">
        <f t="shared" si="10"/>
        <v>8</v>
      </c>
      <c r="E83" s="37">
        <v>2</v>
      </c>
      <c r="F83" s="38" t="s">
        <v>6</v>
      </c>
      <c r="G83" s="39" t="s">
        <v>26</v>
      </c>
      <c r="H83" s="39" t="s">
        <v>27</v>
      </c>
      <c r="I83" s="44"/>
      <c r="J83" s="35"/>
    </row>
    <row r="84" spans="1:10" x14ac:dyDescent="0.25">
      <c r="A84" s="28">
        <f t="shared" si="8"/>
        <v>45343</v>
      </c>
      <c r="B84" s="29">
        <f>+$B$79+1</f>
        <v>45343</v>
      </c>
      <c r="C84" s="30">
        <f t="shared" si="9"/>
        <v>45343</v>
      </c>
      <c r="D84" s="36">
        <f t="shared" si="10"/>
        <v>8</v>
      </c>
      <c r="E84" s="37">
        <v>6.5</v>
      </c>
      <c r="F84" s="38" t="s">
        <v>23</v>
      </c>
      <c r="G84" s="39" t="s">
        <v>24</v>
      </c>
      <c r="H84" s="39" t="s">
        <v>29</v>
      </c>
      <c r="I84" s="44"/>
      <c r="J84" s="35"/>
    </row>
    <row r="85" spans="1:10" x14ac:dyDescent="0.25">
      <c r="A85" s="28">
        <f t="shared" si="8"/>
        <v>45344</v>
      </c>
      <c r="B85" s="29">
        <f>+$B$83+1</f>
        <v>45344</v>
      </c>
      <c r="C85" s="30">
        <f t="shared" si="9"/>
        <v>45344</v>
      </c>
      <c r="D85" s="36">
        <f t="shared" si="10"/>
        <v>8</v>
      </c>
      <c r="E85" s="40">
        <v>1.5</v>
      </c>
      <c r="F85" s="41" t="s">
        <v>15</v>
      </c>
      <c r="G85" s="42" t="s">
        <v>16</v>
      </c>
      <c r="H85" s="42" t="s">
        <v>17</v>
      </c>
      <c r="I85" s="44"/>
      <c r="J85" s="35"/>
    </row>
    <row r="86" spans="1:10" x14ac:dyDescent="0.25">
      <c r="A86" s="28">
        <f t="shared" si="8"/>
        <v>45344</v>
      </c>
      <c r="B86" s="29">
        <f>+$B$83+1</f>
        <v>45344</v>
      </c>
      <c r="C86" s="30">
        <f t="shared" si="9"/>
        <v>45344</v>
      </c>
      <c r="D86" s="36">
        <f t="shared" si="10"/>
        <v>8</v>
      </c>
      <c r="E86" s="40">
        <v>1.5</v>
      </c>
      <c r="F86" s="41" t="s">
        <v>9</v>
      </c>
      <c r="G86" s="42" t="s">
        <v>10</v>
      </c>
      <c r="H86" s="42" t="s">
        <v>30</v>
      </c>
      <c r="I86" s="44"/>
      <c r="J86" s="35"/>
    </row>
    <row r="87" spans="1:10" x14ac:dyDescent="0.25">
      <c r="A87" s="28">
        <f t="shared" si="8"/>
        <v>45344</v>
      </c>
      <c r="B87" s="29">
        <f>+$B$83+1</f>
        <v>45344</v>
      </c>
      <c r="C87" s="30">
        <f t="shared" si="9"/>
        <v>45344</v>
      </c>
      <c r="D87" s="36">
        <f t="shared" si="10"/>
        <v>8</v>
      </c>
      <c r="E87" s="40">
        <v>5.5</v>
      </c>
      <c r="F87" s="41" t="s">
        <v>6</v>
      </c>
      <c r="G87" s="42" t="s">
        <v>26</v>
      </c>
      <c r="H87" s="42" t="s">
        <v>27</v>
      </c>
      <c r="I87" s="44"/>
      <c r="J87" s="35"/>
    </row>
    <row r="88" spans="1:10" x14ac:dyDescent="0.25">
      <c r="A88" s="28">
        <f t="shared" si="8"/>
        <v>45345</v>
      </c>
      <c r="B88" s="29">
        <f>+B85+1</f>
        <v>45345</v>
      </c>
      <c r="C88" s="30">
        <f t="shared" si="9"/>
        <v>45345</v>
      </c>
      <c r="D88" s="36">
        <f t="shared" si="10"/>
        <v>8</v>
      </c>
      <c r="E88" s="37">
        <v>6</v>
      </c>
      <c r="F88" s="38" t="s">
        <v>6</v>
      </c>
      <c r="G88" s="39" t="s">
        <v>26</v>
      </c>
      <c r="H88" s="39" t="s">
        <v>27</v>
      </c>
      <c r="I88" s="44"/>
      <c r="J88" s="35"/>
    </row>
    <row r="89" spans="1:10" x14ac:dyDescent="0.25">
      <c r="A89" s="28">
        <f t="shared" si="8"/>
        <v>45346</v>
      </c>
      <c r="B89" s="29">
        <f t="shared" si="11"/>
        <v>45346</v>
      </c>
      <c r="C89" s="30">
        <f t="shared" si="9"/>
        <v>45346</v>
      </c>
      <c r="D89" s="36">
        <f t="shared" si="10"/>
        <v>8</v>
      </c>
      <c r="E89" s="32"/>
      <c r="F89" s="33"/>
      <c r="G89" s="43"/>
      <c r="H89" s="43"/>
      <c r="I89" s="44"/>
      <c r="J89" s="35"/>
    </row>
    <row r="90" spans="1:10" x14ac:dyDescent="0.25">
      <c r="A90" s="28">
        <f t="shared" si="8"/>
        <v>45347</v>
      </c>
      <c r="B90" s="29">
        <f t="shared" si="11"/>
        <v>45347</v>
      </c>
      <c r="C90" s="30">
        <f t="shared" si="9"/>
        <v>45347</v>
      </c>
      <c r="D90" s="36">
        <f t="shared" si="10"/>
        <v>9</v>
      </c>
      <c r="E90" s="32"/>
      <c r="F90" s="33"/>
      <c r="G90" s="43"/>
      <c r="H90" s="43"/>
      <c r="I90" s="44"/>
      <c r="J90" s="35"/>
    </row>
    <row r="91" spans="1:10" x14ac:dyDescent="0.25">
      <c r="A91" s="28">
        <f t="shared" si="8"/>
        <v>45348</v>
      </c>
      <c r="B91" s="29">
        <f t="shared" si="11"/>
        <v>45348</v>
      </c>
      <c r="C91" s="30">
        <f t="shared" si="9"/>
        <v>45348</v>
      </c>
      <c r="D91" s="36">
        <f t="shared" si="10"/>
        <v>9</v>
      </c>
      <c r="E91" s="37">
        <v>8.5</v>
      </c>
      <c r="F91" s="38" t="s">
        <v>6</v>
      </c>
      <c r="G91" s="39" t="s">
        <v>26</v>
      </c>
      <c r="H91" s="39" t="s">
        <v>27</v>
      </c>
      <c r="I91" s="44"/>
      <c r="J91" s="35"/>
    </row>
    <row r="92" spans="1:10" x14ac:dyDescent="0.25">
      <c r="A92" s="28">
        <f>$B$92</f>
        <v>45349</v>
      </c>
      <c r="B92" s="29">
        <f>+$B$91+1</f>
        <v>45349</v>
      </c>
      <c r="C92" s="30">
        <f t="shared" si="9"/>
        <v>45349</v>
      </c>
      <c r="D92" s="36">
        <f t="shared" si="10"/>
        <v>9</v>
      </c>
      <c r="E92" s="40">
        <v>1.5</v>
      </c>
      <c r="F92" s="41" t="s">
        <v>15</v>
      </c>
      <c r="G92" s="42" t="s">
        <v>16</v>
      </c>
      <c r="H92" s="42" t="s">
        <v>17</v>
      </c>
      <c r="I92" s="44"/>
      <c r="J92" s="35"/>
    </row>
    <row r="93" spans="1:10" x14ac:dyDescent="0.25">
      <c r="A93" s="28">
        <f>$B$92</f>
        <v>45349</v>
      </c>
      <c r="B93" s="29">
        <f>+$B$91+1</f>
        <v>45349</v>
      </c>
      <c r="C93" s="30">
        <f t="shared" si="9"/>
        <v>45349</v>
      </c>
      <c r="D93" s="36">
        <f t="shared" si="10"/>
        <v>9</v>
      </c>
      <c r="E93" s="40">
        <v>7</v>
      </c>
      <c r="F93" s="41" t="s">
        <v>9</v>
      </c>
      <c r="G93" s="42" t="s">
        <v>10</v>
      </c>
      <c r="H93" s="42" t="s">
        <v>18</v>
      </c>
      <c r="I93" s="44"/>
      <c r="J93" s="35"/>
    </row>
    <row r="94" spans="1:10" x14ac:dyDescent="0.25">
      <c r="A94" s="28">
        <f>$B$92</f>
        <v>45349</v>
      </c>
      <c r="B94" s="29">
        <f>+$B$92+1</f>
        <v>45350</v>
      </c>
      <c r="C94" s="30">
        <f t="shared" si="9"/>
        <v>45350</v>
      </c>
      <c r="D94" s="36">
        <f t="shared" si="10"/>
        <v>9</v>
      </c>
      <c r="E94" s="37">
        <v>1.5</v>
      </c>
      <c r="F94" s="38" t="s">
        <v>15</v>
      </c>
      <c r="G94" s="39" t="s">
        <v>19</v>
      </c>
      <c r="H94" s="39" t="s">
        <v>28</v>
      </c>
      <c r="I94" s="44"/>
      <c r="J94" s="35"/>
    </row>
    <row r="95" spans="1:10" x14ac:dyDescent="0.25">
      <c r="A95" s="28">
        <f>$B$92</f>
        <v>45349</v>
      </c>
      <c r="B95" s="29">
        <f>+$B$92+1</f>
        <v>45350</v>
      </c>
      <c r="C95" s="30">
        <f t="shared" si="9"/>
        <v>45350</v>
      </c>
      <c r="D95" s="36">
        <f t="shared" si="10"/>
        <v>9</v>
      </c>
      <c r="E95" s="37">
        <v>1</v>
      </c>
      <c r="F95" s="38" t="s">
        <v>15</v>
      </c>
      <c r="G95" s="39" t="s">
        <v>16</v>
      </c>
      <c r="H95" s="39" t="s">
        <v>31</v>
      </c>
      <c r="I95" s="44"/>
      <c r="J95" s="35"/>
    </row>
    <row r="96" spans="1:10" x14ac:dyDescent="0.25">
      <c r="A96" s="28">
        <f>$B$92</f>
        <v>45349</v>
      </c>
      <c r="B96" s="29">
        <f>+$B$92+1</f>
        <v>45350</v>
      </c>
      <c r="C96" s="30">
        <f t="shared" si="9"/>
        <v>45350</v>
      </c>
      <c r="D96" s="36">
        <f t="shared" si="10"/>
        <v>9</v>
      </c>
      <c r="E96" s="37">
        <v>6</v>
      </c>
      <c r="F96" s="38" t="s">
        <v>9</v>
      </c>
      <c r="G96" s="39" t="s">
        <v>10</v>
      </c>
      <c r="H96" s="39" t="s">
        <v>18</v>
      </c>
      <c r="I96" s="44"/>
      <c r="J96" s="35"/>
    </row>
    <row r="97" spans="1:10" x14ac:dyDescent="0.25">
      <c r="A97" s="28">
        <f t="shared" si="8"/>
        <v>45351</v>
      </c>
      <c r="B97" s="29">
        <f>+$B$96+1</f>
        <v>45351</v>
      </c>
      <c r="C97" s="30">
        <f t="shared" si="9"/>
        <v>45351</v>
      </c>
      <c r="D97" s="36">
        <f t="shared" si="10"/>
        <v>9</v>
      </c>
      <c r="E97" s="40">
        <v>1.5</v>
      </c>
      <c r="F97" s="41" t="s">
        <v>15</v>
      </c>
      <c r="G97" s="42" t="s">
        <v>16</v>
      </c>
      <c r="H97" s="42" t="s">
        <v>17</v>
      </c>
      <c r="I97" s="44"/>
      <c r="J97" s="35"/>
    </row>
    <row r="98" spans="1:10" x14ac:dyDescent="0.25">
      <c r="A98" s="28">
        <f t="shared" si="8"/>
        <v>45351</v>
      </c>
      <c r="B98" s="29">
        <f>+$B$96+1</f>
        <v>45351</v>
      </c>
      <c r="C98" s="30">
        <f t="shared" si="9"/>
        <v>45351</v>
      </c>
      <c r="D98" s="36">
        <f t="shared" si="10"/>
        <v>9</v>
      </c>
      <c r="E98" s="40">
        <v>7</v>
      </c>
      <c r="F98" s="41" t="s">
        <v>9</v>
      </c>
      <c r="G98" s="42" t="s">
        <v>10</v>
      </c>
      <c r="H98" s="42" t="s">
        <v>18</v>
      </c>
      <c r="I98" s="44"/>
      <c r="J98" s="35"/>
    </row>
    <row r="99" spans="1:10" x14ac:dyDescent="0.25">
      <c r="A99" s="28">
        <f t="shared" si="8"/>
        <v>45352</v>
      </c>
      <c r="B99" s="29">
        <f>+$B$97+1</f>
        <v>45352</v>
      </c>
      <c r="C99" s="30">
        <f t="shared" si="9"/>
        <v>45352</v>
      </c>
      <c r="D99" s="36">
        <f t="shared" si="10"/>
        <v>9</v>
      </c>
      <c r="E99" s="37">
        <v>3</v>
      </c>
      <c r="F99" s="38" t="s">
        <v>9</v>
      </c>
      <c r="G99" s="39" t="s">
        <v>10</v>
      </c>
      <c r="H99" s="39" t="s">
        <v>18</v>
      </c>
      <c r="I99" s="44"/>
      <c r="J99" s="35"/>
    </row>
    <row r="100" spans="1:10" x14ac:dyDescent="0.25">
      <c r="A100" s="28">
        <f t="shared" si="8"/>
        <v>45352</v>
      </c>
      <c r="B100" s="29">
        <f>+$B$97+1</f>
        <v>45352</v>
      </c>
      <c r="C100" s="30">
        <f t="shared" si="9"/>
        <v>45352</v>
      </c>
      <c r="D100" s="36">
        <f t="shared" si="10"/>
        <v>9</v>
      </c>
      <c r="E100" s="37">
        <v>3</v>
      </c>
      <c r="F100" s="38" t="s">
        <v>6</v>
      </c>
      <c r="G100" s="39" t="s">
        <v>26</v>
      </c>
      <c r="H100" s="39" t="s">
        <v>27</v>
      </c>
      <c r="I100" s="44"/>
      <c r="J100" s="35">
        <f>SUM(E91:E100)</f>
        <v>40</v>
      </c>
    </row>
    <row r="101" spans="1:10" x14ac:dyDescent="0.25">
      <c r="A101" s="28">
        <f t="shared" si="8"/>
        <v>45353</v>
      </c>
      <c r="B101" s="29">
        <f>+B99+1</f>
        <v>45353</v>
      </c>
      <c r="C101" s="30">
        <f t="shared" si="9"/>
        <v>45353</v>
      </c>
      <c r="D101" s="36">
        <f t="shared" si="10"/>
        <v>9</v>
      </c>
      <c r="E101" s="32"/>
      <c r="F101" s="33"/>
      <c r="G101" s="43"/>
      <c r="H101" s="43"/>
      <c r="I101" s="44"/>
      <c r="J101" s="35"/>
    </row>
    <row r="102" spans="1:10" x14ac:dyDescent="0.25">
      <c r="A102" s="28">
        <f t="shared" si="8"/>
        <v>45354</v>
      </c>
      <c r="B102" s="29">
        <f t="shared" si="11"/>
        <v>45354</v>
      </c>
      <c r="C102" s="30">
        <f t="shared" si="9"/>
        <v>45354</v>
      </c>
      <c r="D102" s="36">
        <f t="shared" si="10"/>
        <v>10</v>
      </c>
      <c r="E102" s="32"/>
      <c r="F102" s="33"/>
      <c r="G102" s="43"/>
      <c r="H102" s="43"/>
      <c r="I102" s="44"/>
      <c r="J102" s="35"/>
    </row>
    <row r="103" spans="1:10" x14ac:dyDescent="0.25">
      <c r="A103" s="28">
        <f t="shared" si="8"/>
        <v>45355</v>
      </c>
      <c r="B103" s="29">
        <f t="shared" si="11"/>
        <v>45355</v>
      </c>
      <c r="C103" s="30">
        <f t="shared" si="9"/>
        <v>45355</v>
      </c>
      <c r="D103" s="36">
        <f t="shared" si="10"/>
        <v>10</v>
      </c>
      <c r="E103" s="37">
        <v>8.5</v>
      </c>
      <c r="F103" s="38" t="s">
        <v>9</v>
      </c>
      <c r="G103" s="39" t="s">
        <v>10</v>
      </c>
      <c r="H103" s="39" t="s">
        <v>18</v>
      </c>
      <c r="I103" s="44"/>
      <c r="J103" s="35"/>
    </row>
    <row r="104" spans="1:10" x14ac:dyDescent="0.25">
      <c r="A104" s="28">
        <f t="shared" si="8"/>
        <v>45356</v>
      </c>
      <c r="B104" s="29">
        <f>+$B$103+1</f>
        <v>45356</v>
      </c>
      <c r="C104" s="30">
        <f t="shared" si="9"/>
        <v>45356</v>
      </c>
      <c r="D104" s="36">
        <f t="shared" si="10"/>
        <v>10</v>
      </c>
      <c r="E104" s="40">
        <v>1.5</v>
      </c>
      <c r="F104" s="41" t="s">
        <v>15</v>
      </c>
      <c r="G104" s="42" t="s">
        <v>16</v>
      </c>
      <c r="H104" s="42" t="s">
        <v>17</v>
      </c>
      <c r="I104" s="44"/>
      <c r="J104" s="35"/>
    </row>
    <row r="105" spans="1:10" x14ac:dyDescent="0.25">
      <c r="A105" s="28">
        <f t="shared" si="8"/>
        <v>45356</v>
      </c>
      <c r="B105" s="29">
        <f>+$B$103+1</f>
        <v>45356</v>
      </c>
      <c r="C105" s="30">
        <f t="shared" si="9"/>
        <v>45356</v>
      </c>
      <c r="D105" s="36">
        <f t="shared" si="10"/>
        <v>10</v>
      </c>
      <c r="E105" s="40">
        <v>7</v>
      </c>
      <c r="F105" s="41" t="s">
        <v>9</v>
      </c>
      <c r="G105" s="42" t="s">
        <v>10</v>
      </c>
      <c r="H105" s="42" t="s">
        <v>18</v>
      </c>
      <c r="I105" s="44"/>
      <c r="J105" s="35"/>
    </row>
    <row r="106" spans="1:10" x14ac:dyDescent="0.25">
      <c r="A106" s="28">
        <f t="shared" si="8"/>
        <v>45357</v>
      </c>
      <c r="B106" s="29">
        <f>+$B$104+1</f>
        <v>45357</v>
      </c>
      <c r="C106" s="30">
        <f t="shared" si="9"/>
        <v>45357</v>
      </c>
      <c r="D106" s="36">
        <f t="shared" si="10"/>
        <v>10</v>
      </c>
      <c r="E106" s="37">
        <v>1</v>
      </c>
      <c r="F106" s="38" t="s">
        <v>15</v>
      </c>
      <c r="G106" s="39" t="s">
        <v>19</v>
      </c>
      <c r="H106" s="39" t="s">
        <v>20</v>
      </c>
      <c r="I106" s="44"/>
      <c r="J106" s="35"/>
    </row>
    <row r="107" spans="1:10" x14ac:dyDescent="0.25">
      <c r="A107" s="28">
        <f t="shared" si="8"/>
        <v>45357</v>
      </c>
      <c r="B107" s="29">
        <f>+$B$104+1</f>
        <v>45357</v>
      </c>
      <c r="C107" s="30">
        <f t="shared" si="9"/>
        <v>45357</v>
      </c>
      <c r="D107" s="36">
        <f t="shared" si="10"/>
        <v>10</v>
      </c>
      <c r="E107" s="37">
        <v>7.5</v>
      </c>
      <c r="F107" s="38" t="s">
        <v>9</v>
      </c>
      <c r="G107" s="39" t="s">
        <v>10</v>
      </c>
      <c r="H107" s="39" t="s">
        <v>18</v>
      </c>
      <c r="I107" s="44"/>
      <c r="J107" s="35"/>
    </row>
    <row r="108" spans="1:10" x14ac:dyDescent="0.25">
      <c r="A108" s="28">
        <f t="shared" si="8"/>
        <v>45358</v>
      </c>
      <c r="B108" s="29">
        <f>+$B$106+1</f>
        <v>45358</v>
      </c>
      <c r="C108" s="30">
        <f t="shared" si="9"/>
        <v>45358</v>
      </c>
      <c r="D108" s="36">
        <f t="shared" si="10"/>
        <v>10</v>
      </c>
      <c r="E108" s="40">
        <v>4</v>
      </c>
      <c r="F108" s="41" t="s">
        <v>6</v>
      </c>
      <c r="G108" s="42" t="s">
        <v>26</v>
      </c>
      <c r="H108" s="42" t="s">
        <v>27</v>
      </c>
      <c r="I108" s="44"/>
      <c r="J108" s="35"/>
    </row>
    <row r="109" spans="1:10" x14ac:dyDescent="0.25">
      <c r="A109" s="28">
        <f t="shared" si="8"/>
        <v>45358</v>
      </c>
      <c r="B109" s="29">
        <f>+$B$106+1</f>
        <v>45358</v>
      </c>
      <c r="C109" s="30">
        <f t="shared" si="9"/>
        <v>45358</v>
      </c>
      <c r="D109" s="36">
        <f t="shared" si="10"/>
        <v>10</v>
      </c>
      <c r="E109" s="40">
        <v>4.5</v>
      </c>
      <c r="F109" s="41" t="s">
        <v>9</v>
      </c>
      <c r="G109" s="42" t="s">
        <v>10</v>
      </c>
      <c r="H109" s="42" t="s">
        <v>18</v>
      </c>
      <c r="I109" s="44"/>
      <c r="J109" s="35"/>
    </row>
    <row r="110" spans="1:10" x14ac:dyDescent="0.25">
      <c r="A110" s="28">
        <f t="shared" si="8"/>
        <v>45358</v>
      </c>
      <c r="B110" s="29">
        <f>+$B$106+1</f>
        <v>45358</v>
      </c>
      <c r="C110" s="30">
        <f t="shared" si="9"/>
        <v>45358</v>
      </c>
      <c r="D110" s="36">
        <f t="shared" si="10"/>
        <v>10</v>
      </c>
      <c r="E110" s="47">
        <v>0</v>
      </c>
      <c r="F110" s="48" t="s">
        <v>15</v>
      </c>
      <c r="G110" s="49" t="s">
        <v>16</v>
      </c>
      <c r="H110" s="49" t="s">
        <v>22</v>
      </c>
      <c r="I110" s="44"/>
      <c r="J110" s="35"/>
    </row>
    <row r="111" spans="1:10" x14ac:dyDescent="0.25">
      <c r="A111" s="28">
        <f t="shared" si="8"/>
        <v>45359</v>
      </c>
      <c r="B111" s="29">
        <f>+$B$108+1</f>
        <v>45359</v>
      </c>
      <c r="C111" s="30">
        <f t="shared" si="9"/>
        <v>45359</v>
      </c>
      <c r="D111" s="36">
        <f t="shared" si="10"/>
        <v>10</v>
      </c>
      <c r="E111" s="37">
        <v>3</v>
      </c>
      <c r="F111" s="38" t="s">
        <v>9</v>
      </c>
      <c r="G111" s="39" t="s">
        <v>10</v>
      </c>
      <c r="H111" s="39" t="s">
        <v>18</v>
      </c>
      <c r="I111" s="44"/>
      <c r="J111" s="35"/>
    </row>
    <row r="112" spans="1:10" x14ac:dyDescent="0.25">
      <c r="A112" s="28">
        <f t="shared" si="8"/>
        <v>45359</v>
      </c>
      <c r="B112" s="29">
        <f>+$B$108+1</f>
        <v>45359</v>
      </c>
      <c r="C112" s="30">
        <f t="shared" si="9"/>
        <v>45359</v>
      </c>
      <c r="D112" s="36">
        <f t="shared" si="10"/>
        <v>10</v>
      </c>
      <c r="E112" s="37">
        <v>3</v>
      </c>
      <c r="F112" s="38" t="s">
        <v>6</v>
      </c>
      <c r="G112" s="39" t="s">
        <v>26</v>
      </c>
      <c r="H112" s="39" t="s">
        <v>27</v>
      </c>
      <c r="I112" s="44"/>
      <c r="J112" s="35">
        <f>SUM(E103:E112)</f>
        <v>40</v>
      </c>
    </row>
    <row r="113" spans="1:10" x14ac:dyDescent="0.25">
      <c r="A113" s="28">
        <f t="shared" si="8"/>
        <v>45360</v>
      </c>
      <c r="B113" s="29">
        <f>+B111+1</f>
        <v>45360</v>
      </c>
      <c r="C113" s="30">
        <f t="shared" si="9"/>
        <v>45360</v>
      </c>
      <c r="D113" s="36">
        <f t="shared" si="10"/>
        <v>10</v>
      </c>
      <c r="E113" s="32"/>
      <c r="F113" s="33"/>
      <c r="G113" s="43"/>
      <c r="H113" s="43"/>
      <c r="I113" s="44"/>
      <c r="J113" s="35"/>
    </row>
    <row r="114" spans="1:10" x14ac:dyDescent="0.25">
      <c r="A114" s="28">
        <f t="shared" si="8"/>
        <v>45361</v>
      </c>
      <c r="B114" s="29">
        <f t="shared" ref="B114:B170" si="13">+B113+1</f>
        <v>45361</v>
      </c>
      <c r="C114" s="30">
        <f t="shared" si="9"/>
        <v>45361</v>
      </c>
      <c r="D114" s="36">
        <f t="shared" si="10"/>
        <v>11</v>
      </c>
      <c r="E114" s="32"/>
      <c r="F114" s="33"/>
      <c r="G114" s="43"/>
      <c r="H114" s="43"/>
      <c r="I114" s="44"/>
      <c r="J114" s="35"/>
    </row>
    <row r="115" spans="1:10" x14ac:dyDescent="0.25">
      <c r="A115" s="28">
        <f t="shared" si="8"/>
        <v>45362</v>
      </c>
      <c r="B115" s="29">
        <f t="shared" si="13"/>
        <v>45362</v>
      </c>
      <c r="C115" s="30">
        <f t="shared" si="9"/>
        <v>45362</v>
      </c>
      <c r="D115" s="36">
        <f t="shared" si="10"/>
        <v>11</v>
      </c>
      <c r="E115" s="37">
        <v>8.5</v>
      </c>
      <c r="F115" s="38" t="s">
        <v>6</v>
      </c>
      <c r="G115" s="39" t="s">
        <v>26</v>
      </c>
      <c r="H115" s="39" t="s">
        <v>27</v>
      </c>
      <c r="I115" s="44"/>
      <c r="J115" s="35"/>
    </row>
    <row r="116" spans="1:10" x14ac:dyDescent="0.25">
      <c r="A116" s="28">
        <f t="shared" si="8"/>
        <v>45363</v>
      </c>
      <c r="B116" s="29">
        <f>+$B$115+1</f>
        <v>45363</v>
      </c>
      <c r="C116" s="30">
        <f t="shared" si="9"/>
        <v>45363</v>
      </c>
      <c r="D116" s="36">
        <f t="shared" si="10"/>
        <v>11</v>
      </c>
      <c r="E116" s="40">
        <v>1.5</v>
      </c>
      <c r="F116" s="41" t="s">
        <v>15</v>
      </c>
      <c r="G116" s="42" t="s">
        <v>16</v>
      </c>
      <c r="H116" s="42" t="s">
        <v>17</v>
      </c>
      <c r="I116" s="44"/>
      <c r="J116" s="35"/>
    </row>
    <row r="117" spans="1:10" x14ac:dyDescent="0.25">
      <c r="A117" s="28">
        <f t="shared" si="8"/>
        <v>45363</v>
      </c>
      <c r="B117" s="29">
        <f>+$B$115+1</f>
        <v>45363</v>
      </c>
      <c r="C117" s="30">
        <f t="shared" si="9"/>
        <v>45363</v>
      </c>
      <c r="D117" s="36">
        <f t="shared" si="10"/>
        <v>11</v>
      </c>
      <c r="E117" s="40">
        <v>7</v>
      </c>
      <c r="F117" s="41" t="s">
        <v>9</v>
      </c>
      <c r="G117" s="42" t="s">
        <v>10</v>
      </c>
      <c r="H117" s="42" t="s">
        <v>18</v>
      </c>
      <c r="I117" s="44"/>
      <c r="J117" s="35"/>
    </row>
    <row r="118" spans="1:10" x14ac:dyDescent="0.25">
      <c r="A118" s="28">
        <f t="shared" si="8"/>
        <v>45364</v>
      </c>
      <c r="B118" s="29">
        <f>+$B$116+1</f>
        <v>45364</v>
      </c>
      <c r="C118" s="30">
        <f t="shared" si="9"/>
        <v>45364</v>
      </c>
      <c r="D118" s="36">
        <f t="shared" si="10"/>
        <v>11</v>
      </c>
      <c r="E118" s="37">
        <v>1</v>
      </c>
      <c r="F118" s="38" t="s">
        <v>23</v>
      </c>
      <c r="G118" s="39" t="s">
        <v>24</v>
      </c>
      <c r="H118" s="39" t="s">
        <v>32</v>
      </c>
      <c r="I118" s="44"/>
      <c r="J118" s="35"/>
    </row>
    <row r="119" spans="1:10" x14ac:dyDescent="0.25">
      <c r="A119" s="28">
        <f t="shared" si="8"/>
        <v>45364</v>
      </c>
      <c r="B119" s="29">
        <f>+$B$116+1</f>
        <v>45364</v>
      </c>
      <c r="C119" s="30">
        <f t="shared" si="9"/>
        <v>45364</v>
      </c>
      <c r="D119" s="36">
        <f t="shared" si="10"/>
        <v>11</v>
      </c>
      <c r="E119" s="37">
        <v>7.5</v>
      </c>
      <c r="F119" s="38" t="s">
        <v>9</v>
      </c>
      <c r="G119" s="39" t="s">
        <v>10</v>
      </c>
      <c r="H119" s="39" t="s">
        <v>18</v>
      </c>
      <c r="I119" s="44"/>
      <c r="J119" s="35"/>
    </row>
    <row r="120" spans="1:10" x14ac:dyDescent="0.25">
      <c r="A120" s="28">
        <f t="shared" si="8"/>
        <v>45365</v>
      </c>
      <c r="B120" s="29">
        <f>+$B$118+1</f>
        <v>45365</v>
      </c>
      <c r="C120" s="30">
        <f t="shared" si="9"/>
        <v>45365</v>
      </c>
      <c r="D120" s="36">
        <f t="shared" si="10"/>
        <v>11</v>
      </c>
      <c r="E120" s="40">
        <v>1.5</v>
      </c>
      <c r="F120" s="41" t="s">
        <v>15</v>
      </c>
      <c r="G120" s="42" t="s">
        <v>16</v>
      </c>
      <c r="H120" s="42" t="s">
        <v>17</v>
      </c>
      <c r="I120" s="44"/>
      <c r="J120" s="35"/>
    </row>
    <row r="121" spans="1:10" x14ac:dyDescent="0.25">
      <c r="A121" s="28">
        <f t="shared" si="8"/>
        <v>45365</v>
      </c>
      <c r="B121" s="29">
        <f>+$B$118+1</f>
        <v>45365</v>
      </c>
      <c r="C121" s="30">
        <f t="shared" si="9"/>
        <v>45365</v>
      </c>
      <c r="D121" s="36">
        <f t="shared" si="10"/>
        <v>11</v>
      </c>
      <c r="E121" s="40">
        <v>7</v>
      </c>
      <c r="F121" s="41" t="s">
        <v>9</v>
      </c>
      <c r="G121" s="42" t="s">
        <v>10</v>
      </c>
      <c r="H121" s="42" t="s">
        <v>18</v>
      </c>
      <c r="I121" s="44"/>
      <c r="J121" s="35"/>
    </row>
    <row r="122" spans="1:10" x14ac:dyDescent="0.25">
      <c r="A122" s="28">
        <f t="shared" si="8"/>
        <v>45366</v>
      </c>
      <c r="B122" s="29">
        <f>+B120+1</f>
        <v>45366</v>
      </c>
      <c r="C122" s="30">
        <f t="shared" si="9"/>
        <v>45366</v>
      </c>
      <c r="D122" s="36">
        <f t="shared" si="10"/>
        <v>11</v>
      </c>
      <c r="E122" s="37">
        <v>6</v>
      </c>
      <c r="F122" s="38" t="s">
        <v>6</v>
      </c>
      <c r="G122" s="39" t="s">
        <v>26</v>
      </c>
      <c r="H122" s="39" t="s">
        <v>27</v>
      </c>
      <c r="I122" s="44"/>
      <c r="J122" s="35">
        <f>SUM(E115:E122)</f>
        <v>40</v>
      </c>
    </row>
    <row r="123" spans="1:10" x14ac:dyDescent="0.25">
      <c r="A123" s="28">
        <f t="shared" si="8"/>
        <v>45367</v>
      </c>
      <c r="B123" s="29">
        <f t="shared" si="13"/>
        <v>45367</v>
      </c>
      <c r="C123" s="30">
        <f t="shared" si="9"/>
        <v>45367</v>
      </c>
      <c r="D123" s="36">
        <f t="shared" si="10"/>
        <v>11</v>
      </c>
      <c r="E123" s="32"/>
      <c r="F123" s="33"/>
      <c r="G123" s="43"/>
      <c r="H123" s="43"/>
      <c r="I123" s="44"/>
      <c r="J123" s="35"/>
    </row>
    <row r="124" spans="1:10" x14ac:dyDescent="0.25">
      <c r="A124" s="28">
        <f t="shared" si="8"/>
        <v>45368</v>
      </c>
      <c r="B124" s="29">
        <f t="shared" si="13"/>
        <v>45368</v>
      </c>
      <c r="C124" s="30">
        <f t="shared" si="9"/>
        <v>45368</v>
      </c>
      <c r="D124" s="36">
        <f t="shared" si="10"/>
        <v>12</v>
      </c>
      <c r="E124" s="32"/>
      <c r="F124" s="33"/>
      <c r="G124" s="43"/>
      <c r="H124" s="43"/>
      <c r="I124" s="44"/>
      <c r="J124" s="35"/>
    </row>
    <row r="125" spans="1:10" x14ac:dyDescent="0.25">
      <c r="A125" s="28">
        <f t="shared" si="8"/>
        <v>45369</v>
      </c>
      <c r="B125" s="29">
        <f t="shared" si="13"/>
        <v>45369</v>
      </c>
      <c r="C125" s="30">
        <f t="shared" si="9"/>
        <v>45369</v>
      </c>
      <c r="D125" s="36">
        <f t="shared" si="10"/>
        <v>12</v>
      </c>
      <c r="E125" s="37">
        <v>8.5</v>
      </c>
      <c r="F125" s="38" t="s">
        <v>9</v>
      </c>
      <c r="G125" s="39" t="s">
        <v>10</v>
      </c>
      <c r="H125" s="39" t="s">
        <v>18</v>
      </c>
      <c r="I125" s="44"/>
      <c r="J125" s="35"/>
    </row>
    <row r="126" spans="1:10" x14ac:dyDescent="0.25">
      <c r="A126" s="28">
        <f t="shared" si="8"/>
        <v>45370</v>
      </c>
      <c r="B126" s="29">
        <f>+$B$125+1</f>
        <v>45370</v>
      </c>
      <c r="C126" s="30">
        <f t="shared" si="9"/>
        <v>45370</v>
      </c>
      <c r="D126" s="36">
        <f t="shared" si="10"/>
        <v>12</v>
      </c>
      <c r="E126" s="40">
        <v>1.5</v>
      </c>
      <c r="F126" s="41" t="s">
        <v>15</v>
      </c>
      <c r="G126" s="42" t="s">
        <v>16</v>
      </c>
      <c r="H126" s="42" t="s">
        <v>17</v>
      </c>
      <c r="I126" s="44"/>
      <c r="J126" s="35"/>
    </row>
    <row r="127" spans="1:10" x14ac:dyDescent="0.25">
      <c r="A127" s="28">
        <f t="shared" si="8"/>
        <v>45370</v>
      </c>
      <c r="B127" s="29">
        <f>+$B$125+1</f>
        <v>45370</v>
      </c>
      <c r="C127" s="30">
        <f t="shared" si="9"/>
        <v>45370</v>
      </c>
      <c r="D127" s="36">
        <f t="shared" si="10"/>
        <v>12</v>
      </c>
      <c r="E127" s="40">
        <v>5</v>
      </c>
      <c r="F127" s="41" t="s">
        <v>9</v>
      </c>
      <c r="G127" s="42" t="s">
        <v>10</v>
      </c>
      <c r="H127" s="42" t="s">
        <v>18</v>
      </c>
      <c r="I127" s="44"/>
      <c r="J127" s="35"/>
    </row>
    <row r="128" spans="1:10" x14ac:dyDescent="0.25">
      <c r="A128" s="28">
        <f t="shared" si="8"/>
        <v>45370</v>
      </c>
      <c r="B128" s="29">
        <f>+$B$125+1</f>
        <v>45370</v>
      </c>
      <c r="C128" s="30">
        <f t="shared" si="9"/>
        <v>45370</v>
      </c>
      <c r="D128" s="36">
        <f t="shared" si="10"/>
        <v>12</v>
      </c>
      <c r="E128" s="40">
        <v>2</v>
      </c>
      <c r="F128" s="41" t="s">
        <v>6</v>
      </c>
      <c r="G128" s="42" t="s">
        <v>26</v>
      </c>
      <c r="H128" s="42" t="s">
        <v>27</v>
      </c>
      <c r="I128" s="44"/>
      <c r="J128" s="35"/>
    </row>
    <row r="129" spans="1:10" x14ac:dyDescent="0.25">
      <c r="A129" s="28">
        <f t="shared" si="8"/>
        <v>45371</v>
      </c>
      <c r="B129" s="29">
        <f>+B126+1</f>
        <v>45371</v>
      </c>
      <c r="C129" s="30">
        <f t="shared" si="9"/>
        <v>45371</v>
      </c>
      <c r="D129" s="36">
        <f t="shared" si="10"/>
        <v>12</v>
      </c>
      <c r="E129" s="37">
        <v>8.5</v>
      </c>
      <c r="F129" s="38" t="s">
        <v>9</v>
      </c>
      <c r="G129" s="39" t="s">
        <v>10</v>
      </c>
      <c r="H129" s="39" t="s">
        <v>18</v>
      </c>
      <c r="I129" s="44"/>
      <c r="J129" s="35"/>
    </row>
    <row r="130" spans="1:10" x14ac:dyDescent="0.25">
      <c r="A130" s="28">
        <f t="shared" si="8"/>
        <v>45372</v>
      </c>
      <c r="B130" s="29">
        <f>+$B$129+1</f>
        <v>45372</v>
      </c>
      <c r="C130" s="30">
        <f t="shared" si="9"/>
        <v>45372</v>
      </c>
      <c r="D130" s="36">
        <f t="shared" si="10"/>
        <v>12</v>
      </c>
      <c r="E130" s="40">
        <v>1.5</v>
      </c>
      <c r="F130" s="41" t="s">
        <v>15</v>
      </c>
      <c r="G130" s="42" t="s">
        <v>16</v>
      </c>
      <c r="H130" s="42" t="s">
        <v>17</v>
      </c>
      <c r="I130" s="44"/>
      <c r="J130" s="35"/>
    </row>
    <row r="131" spans="1:10" x14ac:dyDescent="0.25">
      <c r="A131" s="28">
        <f t="shared" si="8"/>
        <v>45372</v>
      </c>
      <c r="B131" s="29">
        <f>+$B$129+1</f>
        <v>45372</v>
      </c>
      <c r="C131" s="30">
        <f t="shared" si="9"/>
        <v>45372</v>
      </c>
      <c r="D131" s="36">
        <f t="shared" si="10"/>
        <v>12</v>
      </c>
      <c r="E131" s="40">
        <v>7</v>
      </c>
      <c r="F131" s="41" t="s">
        <v>9</v>
      </c>
      <c r="G131" s="42" t="s">
        <v>10</v>
      </c>
      <c r="H131" s="42" t="s">
        <v>18</v>
      </c>
      <c r="I131" s="44"/>
      <c r="J131" s="35"/>
    </row>
    <row r="132" spans="1:10" x14ac:dyDescent="0.25">
      <c r="A132" s="28">
        <f t="shared" si="8"/>
        <v>45373</v>
      </c>
      <c r="B132" s="29">
        <f>+B130+1</f>
        <v>45373</v>
      </c>
      <c r="C132" s="30">
        <f t="shared" si="9"/>
        <v>45373</v>
      </c>
      <c r="D132" s="36">
        <f t="shared" si="10"/>
        <v>12</v>
      </c>
      <c r="E132" s="37">
        <v>6</v>
      </c>
      <c r="F132" s="38" t="s">
        <v>9</v>
      </c>
      <c r="G132" s="39" t="s">
        <v>10</v>
      </c>
      <c r="H132" s="39" t="s">
        <v>18</v>
      </c>
      <c r="I132" s="44"/>
      <c r="J132" s="35">
        <f>SUM(E125:E132)</f>
        <v>40</v>
      </c>
    </row>
    <row r="133" spans="1:10" x14ac:dyDescent="0.25">
      <c r="A133" s="28">
        <f t="shared" ref="A133:A217" si="14">B133</f>
        <v>45374</v>
      </c>
      <c r="B133" s="29">
        <f t="shared" si="13"/>
        <v>45374</v>
      </c>
      <c r="C133" s="30">
        <f t="shared" ref="C133:C217" si="15">B133</f>
        <v>45374</v>
      </c>
      <c r="D133" s="36">
        <f t="shared" si="10"/>
        <v>12</v>
      </c>
      <c r="E133" s="32"/>
      <c r="F133" s="33"/>
      <c r="G133" s="43"/>
      <c r="H133" s="43"/>
      <c r="I133" s="44"/>
      <c r="J133" s="35"/>
    </row>
    <row r="134" spans="1:10" x14ac:dyDescent="0.25">
      <c r="A134" s="28">
        <f t="shared" si="14"/>
        <v>45375</v>
      </c>
      <c r="B134" s="29">
        <f t="shared" si="13"/>
        <v>45375</v>
      </c>
      <c r="C134" s="30">
        <f t="shared" si="15"/>
        <v>45375</v>
      </c>
      <c r="D134" s="36">
        <f t="shared" si="10"/>
        <v>13</v>
      </c>
      <c r="E134" s="32"/>
      <c r="F134" s="33"/>
      <c r="G134" s="43"/>
      <c r="H134" s="43"/>
      <c r="I134" s="44"/>
      <c r="J134" s="35"/>
    </row>
    <row r="135" spans="1:10" x14ac:dyDescent="0.25">
      <c r="A135" s="28">
        <f t="shared" si="14"/>
        <v>45376</v>
      </c>
      <c r="B135" s="29">
        <f t="shared" si="13"/>
        <v>45376</v>
      </c>
      <c r="C135" s="30">
        <f t="shared" si="15"/>
        <v>45376</v>
      </c>
      <c r="D135" s="36">
        <f t="shared" si="10"/>
        <v>13</v>
      </c>
      <c r="E135" s="37">
        <v>8.5</v>
      </c>
      <c r="F135" s="38" t="s">
        <v>9</v>
      </c>
      <c r="G135" s="39" t="s">
        <v>10</v>
      </c>
      <c r="H135" s="39" t="s">
        <v>18</v>
      </c>
      <c r="I135" s="44"/>
      <c r="J135" s="35"/>
    </row>
    <row r="136" spans="1:10" x14ac:dyDescent="0.25">
      <c r="A136" s="28">
        <f t="shared" si="14"/>
        <v>45377</v>
      </c>
      <c r="B136" s="29">
        <f t="shared" si="13"/>
        <v>45377</v>
      </c>
      <c r="C136" s="30">
        <f t="shared" si="15"/>
        <v>45377</v>
      </c>
      <c r="D136" s="36">
        <f t="shared" si="10"/>
        <v>13</v>
      </c>
      <c r="E136" s="40">
        <v>8.5</v>
      </c>
      <c r="F136" s="41" t="s">
        <v>9</v>
      </c>
      <c r="G136" s="42" t="s">
        <v>10</v>
      </c>
      <c r="H136" s="42" t="s">
        <v>18</v>
      </c>
      <c r="I136" s="44"/>
      <c r="J136" s="35"/>
    </row>
    <row r="137" spans="1:10" x14ac:dyDescent="0.25">
      <c r="A137" s="28">
        <f t="shared" si="14"/>
        <v>45378</v>
      </c>
      <c r="B137" s="29">
        <f t="shared" si="13"/>
        <v>45378</v>
      </c>
      <c r="C137" s="30">
        <f t="shared" si="15"/>
        <v>45378</v>
      </c>
      <c r="D137" s="36">
        <f t="shared" si="10"/>
        <v>13</v>
      </c>
      <c r="E137" s="37">
        <v>8.5</v>
      </c>
      <c r="F137" s="38" t="s">
        <v>9</v>
      </c>
      <c r="G137" s="39" t="s">
        <v>10</v>
      </c>
      <c r="H137" s="39" t="s">
        <v>18</v>
      </c>
      <c r="I137" s="44"/>
      <c r="J137" s="35"/>
    </row>
    <row r="138" spans="1:10" x14ac:dyDescent="0.25">
      <c r="A138" s="50">
        <f t="shared" si="14"/>
        <v>45379</v>
      </c>
      <c r="B138" s="51">
        <f t="shared" si="13"/>
        <v>45379</v>
      </c>
      <c r="C138" s="52">
        <f t="shared" si="15"/>
        <v>45379</v>
      </c>
      <c r="D138" s="53">
        <f t="shared" si="10"/>
        <v>13</v>
      </c>
      <c r="E138" s="54" t="s">
        <v>33</v>
      </c>
      <c r="F138" s="55"/>
      <c r="G138" s="56"/>
      <c r="H138" s="56"/>
      <c r="I138" s="44"/>
      <c r="J138" s="35"/>
    </row>
    <row r="139" spans="1:10" x14ac:dyDescent="0.25">
      <c r="A139" s="50">
        <f t="shared" si="14"/>
        <v>45380</v>
      </c>
      <c r="B139" s="51">
        <f t="shared" si="13"/>
        <v>45380</v>
      </c>
      <c r="C139" s="52">
        <f t="shared" si="15"/>
        <v>45380</v>
      </c>
      <c r="D139" s="53">
        <f t="shared" si="10"/>
        <v>13</v>
      </c>
      <c r="E139" s="54" t="s">
        <v>33</v>
      </c>
      <c r="F139" s="55"/>
      <c r="G139" s="56"/>
      <c r="H139" s="56"/>
      <c r="I139" s="44"/>
      <c r="J139" s="35">
        <f>SUM(E135:E139)</f>
        <v>25.5</v>
      </c>
    </row>
    <row r="140" spans="1:10" x14ac:dyDescent="0.25">
      <c r="A140" s="28">
        <f t="shared" si="14"/>
        <v>45381</v>
      </c>
      <c r="B140" s="29">
        <f t="shared" si="13"/>
        <v>45381</v>
      </c>
      <c r="C140" s="30">
        <f t="shared" si="15"/>
        <v>45381</v>
      </c>
      <c r="D140" s="36">
        <f t="shared" si="10"/>
        <v>13</v>
      </c>
      <c r="E140" s="32"/>
      <c r="F140" s="33"/>
      <c r="G140" s="45"/>
      <c r="H140" s="45"/>
      <c r="I140" s="44"/>
      <c r="J140" s="35"/>
    </row>
    <row r="141" spans="1:10" x14ac:dyDescent="0.25">
      <c r="A141" s="28">
        <f t="shared" si="14"/>
        <v>45382</v>
      </c>
      <c r="B141" s="29">
        <f t="shared" si="13"/>
        <v>45382</v>
      </c>
      <c r="C141" s="30">
        <f t="shared" si="15"/>
        <v>45382</v>
      </c>
      <c r="D141" s="36">
        <f t="shared" si="10"/>
        <v>14</v>
      </c>
      <c r="E141" s="32"/>
      <c r="F141" s="33"/>
      <c r="G141" s="45"/>
      <c r="H141" s="45"/>
      <c r="I141" s="44"/>
      <c r="J141" s="35"/>
    </row>
    <row r="142" spans="1:10" x14ac:dyDescent="0.25">
      <c r="A142" s="28">
        <f t="shared" si="14"/>
        <v>45383</v>
      </c>
      <c r="B142" s="29">
        <f t="shared" si="13"/>
        <v>45383</v>
      </c>
      <c r="C142" s="30">
        <f t="shared" si="15"/>
        <v>45383</v>
      </c>
      <c r="D142" s="36">
        <f t="shared" si="10"/>
        <v>14</v>
      </c>
      <c r="E142" s="37">
        <v>8.5</v>
      </c>
      <c r="F142" s="38" t="s">
        <v>9</v>
      </c>
      <c r="G142" s="39" t="s">
        <v>10</v>
      </c>
      <c r="H142" s="39" t="s">
        <v>18</v>
      </c>
      <c r="I142" s="44"/>
      <c r="J142" s="35"/>
    </row>
    <row r="143" spans="1:10" x14ac:dyDescent="0.25">
      <c r="A143" s="28">
        <f t="shared" si="14"/>
        <v>45384</v>
      </c>
      <c r="B143" s="29">
        <f>+$B$142+1</f>
        <v>45384</v>
      </c>
      <c r="C143" s="30">
        <f t="shared" si="15"/>
        <v>45384</v>
      </c>
      <c r="D143" s="36">
        <f t="shared" si="10"/>
        <v>14</v>
      </c>
      <c r="E143" s="40">
        <v>1.5</v>
      </c>
      <c r="F143" s="41" t="s">
        <v>15</v>
      </c>
      <c r="G143" s="42" t="s">
        <v>16</v>
      </c>
      <c r="H143" s="42" t="s">
        <v>17</v>
      </c>
      <c r="I143" s="44"/>
      <c r="J143" s="35"/>
    </row>
    <row r="144" spans="1:10" x14ac:dyDescent="0.25">
      <c r="A144" s="28">
        <f t="shared" si="14"/>
        <v>45384</v>
      </c>
      <c r="B144" s="29">
        <f>+$B$142+1</f>
        <v>45384</v>
      </c>
      <c r="C144" s="30">
        <f t="shared" si="15"/>
        <v>45384</v>
      </c>
      <c r="D144" s="36">
        <f t="shared" si="10"/>
        <v>14</v>
      </c>
      <c r="E144" s="40">
        <v>7</v>
      </c>
      <c r="F144" s="41" t="s">
        <v>9</v>
      </c>
      <c r="G144" s="42" t="s">
        <v>10</v>
      </c>
      <c r="H144" s="42" t="s">
        <v>18</v>
      </c>
      <c r="I144" s="44"/>
      <c r="J144" s="35"/>
    </row>
    <row r="145" spans="1:10" x14ac:dyDescent="0.25">
      <c r="A145" s="28">
        <f t="shared" si="14"/>
        <v>45385</v>
      </c>
      <c r="B145" s="29">
        <f>+B143+1</f>
        <v>45385</v>
      </c>
      <c r="C145" s="30">
        <f t="shared" si="15"/>
        <v>45385</v>
      </c>
      <c r="D145" s="36">
        <f t="shared" si="10"/>
        <v>14</v>
      </c>
      <c r="E145" s="37">
        <v>8.5</v>
      </c>
      <c r="F145" s="38" t="s">
        <v>9</v>
      </c>
      <c r="G145" s="39" t="s">
        <v>10</v>
      </c>
      <c r="H145" s="39" t="s">
        <v>18</v>
      </c>
      <c r="I145" s="44"/>
      <c r="J145" s="35"/>
    </row>
    <row r="146" spans="1:10" x14ac:dyDescent="0.25">
      <c r="A146" s="28">
        <f t="shared" si="14"/>
        <v>45386</v>
      </c>
      <c r="B146" s="29">
        <f>+$B$145+1</f>
        <v>45386</v>
      </c>
      <c r="C146" s="30">
        <f t="shared" si="15"/>
        <v>45386</v>
      </c>
      <c r="D146" s="36">
        <f t="shared" si="10"/>
        <v>14</v>
      </c>
      <c r="E146" s="40">
        <v>7</v>
      </c>
      <c r="F146" s="41" t="s">
        <v>23</v>
      </c>
      <c r="G146" s="42" t="s">
        <v>24</v>
      </c>
      <c r="H146" s="42" t="s">
        <v>29</v>
      </c>
      <c r="I146" s="44"/>
      <c r="J146" s="35"/>
    </row>
    <row r="147" spans="1:10" x14ac:dyDescent="0.25">
      <c r="A147" s="28">
        <f t="shared" si="14"/>
        <v>45386</v>
      </c>
      <c r="B147" s="29">
        <f>+$B$145+1</f>
        <v>45386</v>
      </c>
      <c r="C147" s="30">
        <f t="shared" si="15"/>
        <v>45386</v>
      </c>
      <c r="D147" s="36">
        <f t="shared" si="10"/>
        <v>14</v>
      </c>
      <c r="E147" s="40">
        <v>1.5</v>
      </c>
      <c r="F147" s="41" t="s">
        <v>9</v>
      </c>
      <c r="G147" s="42" t="s">
        <v>10</v>
      </c>
      <c r="H147" s="42" t="s">
        <v>18</v>
      </c>
      <c r="I147" s="44"/>
      <c r="J147" s="35"/>
    </row>
    <row r="148" spans="1:10" x14ac:dyDescent="0.25">
      <c r="A148" s="28">
        <f t="shared" si="14"/>
        <v>45386</v>
      </c>
      <c r="B148" s="29">
        <f>+$B$145+1</f>
        <v>45386</v>
      </c>
      <c r="C148" s="30">
        <f t="shared" si="15"/>
        <v>45386</v>
      </c>
      <c r="D148" s="36">
        <f t="shared" si="10"/>
        <v>14</v>
      </c>
      <c r="E148" s="47">
        <v>0</v>
      </c>
      <c r="F148" s="48" t="s">
        <v>15</v>
      </c>
      <c r="G148" s="49" t="s">
        <v>16</v>
      </c>
      <c r="H148" s="49" t="s">
        <v>22</v>
      </c>
      <c r="I148" s="44"/>
      <c r="J148" s="35"/>
    </row>
    <row r="149" spans="1:10" x14ac:dyDescent="0.25">
      <c r="A149" s="28">
        <f t="shared" si="14"/>
        <v>45387</v>
      </c>
      <c r="B149" s="29">
        <f>+$B$146+1</f>
        <v>45387</v>
      </c>
      <c r="C149" s="30">
        <f t="shared" si="15"/>
        <v>45387</v>
      </c>
      <c r="D149" s="36">
        <f t="shared" si="10"/>
        <v>14</v>
      </c>
      <c r="E149" s="37">
        <v>1</v>
      </c>
      <c r="F149" s="38" t="s">
        <v>23</v>
      </c>
      <c r="G149" s="39" t="s">
        <v>24</v>
      </c>
      <c r="H149" s="39" t="s">
        <v>29</v>
      </c>
      <c r="I149" s="44"/>
      <c r="J149" s="35"/>
    </row>
    <row r="150" spans="1:10" x14ac:dyDescent="0.25">
      <c r="A150" s="28">
        <f t="shared" si="14"/>
        <v>45387</v>
      </c>
      <c r="B150" s="29">
        <f>+$B$146+1</f>
        <v>45387</v>
      </c>
      <c r="C150" s="30">
        <f t="shared" si="15"/>
        <v>45387</v>
      </c>
      <c r="D150" s="36">
        <f t="shared" si="10"/>
        <v>14</v>
      </c>
      <c r="E150" s="37">
        <v>5</v>
      </c>
      <c r="F150" s="38" t="s">
        <v>9</v>
      </c>
      <c r="G150" s="39" t="s">
        <v>10</v>
      </c>
      <c r="H150" s="39" t="s">
        <v>18</v>
      </c>
      <c r="I150" s="44"/>
      <c r="J150" s="35">
        <f>SUM(E142:E150)</f>
        <v>40</v>
      </c>
    </row>
    <row r="151" spans="1:10" x14ac:dyDescent="0.25">
      <c r="A151" s="28">
        <f t="shared" si="14"/>
        <v>45388</v>
      </c>
      <c r="B151" s="29">
        <f>+B149+1</f>
        <v>45388</v>
      </c>
      <c r="C151" s="30">
        <f t="shared" si="15"/>
        <v>45388</v>
      </c>
      <c r="D151" s="36">
        <f t="shared" si="10"/>
        <v>14</v>
      </c>
      <c r="E151" s="32"/>
      <c r="F151" s="33"/>
      <c r="G151" s="34"/>
      <c r="H151" s="34"/>
      <c r="I151" s="44"/>
      <c r="J151" s="35"/>
    </row>
    <row r="152" spans="1:10" x14ac:dyDescent="0.25">
      <c r="A152" s="28">
        <f t="shared" si="14"/>
        <v>45389</v>
      </c>
      <c r="B152" s="29">
        <f t="shared" si="13"/>
        <v>45389</v>
      </c>
      <c r="C152" s="30">
        <f t="shared" si="15"/>
        <v>45389</v>
      </c>
      <c r="D152" s="36">
        <f t="shared" si="10"/>
        <v>15</v>
      </c>
      <c r="E152" s="54"/>
      <c r="F152" s="55"/>
      <c r="G152" s="57"/>
      <c r="H152" s="57"/>
      <c r="I152" s="44"/>
      <c r="J152" s="35"/>
    </row>
    <row r="153" spans="1:10" x14ac:dyDescent="0.25">
      <c r="A153" s="28">
        <f t="shared" si="14"/>
        <v>45390</v>
      </c>
      <c r="B153" s="29">
        <f t="shared" si="13"/>
        <v>45390</v>
      </c>
      <c r="C153" s="30">
        <f t="shared" si="15"/>
        <v>45390</v>
      </c>
      <c r="D153" s="36">
        <f t="shared" si="10"/>
        <v>15</v>
      </c>
      <c r="E153" s="37">
        <v>8.5</v>
      </c>
      <c r="F153" s="38" t="s">
        <v>9</v>
      </c>
      <c r="G153" s="39" t="s">
        <v>10</v>
      </c>
      <c r="H153" s="39" t="s">
        <v>18</v>
      </c>
      <c r="I153" s="44"/>
      <c r="J153" s="35"/>
    </row>
    <row r="154" spans="1:10" x14ac:dyDescent="0.25">
      <c r="A154" s="28">
        <f t="shared" si="14"/>
        <v>45391</v>
      </c>
      <c r="B154" s="29">
        <f>+$B$153+1</f>
        <v>45391</v>
      </c>
      <c r="C154" s="30">
        <f t="shared" si="15"/>
        <v>45391</v>
      </c>
      <c r="D154" s="36">
        <f t="shared" si="10"/>
        <v>15</v>
      </c>
      <c r="E154" s="40">
        <v>1.5</v>
      </c>
      <c r="F154" s="41" t="s">
        <v>15</v>
      </c>
      <c r="G154" s="42" t="s">
        <v>16</v>
      </c>
      <c r="H154" s="42" t="s">
        <v>17</v>
      </c>
      <c r="I154" s="44"/>
      <c r="J154" s="35"/>
    </row>
    <row r="155" spans="1:10" x14ac:dyDescent="0.25">
      <c r="A155" s="28">
        <f t="shared" si="14"/>
        <v>45391</v>
      </c>
      <c r="B155" s="29">
        <f>+$B$153+1</f>
        <v>45391</v>
      </c>
      <c r="C155" s="30">
        <f t="shared" si="15"/>
        <v>45391</v>
      </c>
      <c r="D155" s="36">
        <f t="shared" si="10"/>
        <v>15</v>
      </c>
      <c r="E155" s="40">
        <v>7</v>
      </c>
      <c r="F155" s="41" t="s">
        <v>9</v>
      </c>
      <c r="G155" s="42" t="s">
        <v>10</v>
      </c>
      <c r="H155" s="42" t="s">
        <v>18</v>
      </c>
      <c r="I155" s="44"/>
      <c r="J155" s="35"/>
    </row>
    <row r="156" spans="1:10" x14ac:dyDescent="0.25">
      <c r="A156" s="28">
        <f t="shared" si="14"/>
        <v>45392</v>
      </c>
      <c r="B156" s="29">
        <f>+B154+1</f>
        <v>45392</v>
      </c>
      <c r="C156" s="30">
        <f t="shared" si="15"/>
        <v>45392</v>
      </c>
      <c r="D156" s="36">
        <f t="shared" si="10"/>
        <v>15</v>
      </c>
      <c r="E156" s="37">
        <v>8.5</v>
      </c>
      <c r="F156" s="38" t="s">
        <v>9</v>
      </c>
      <c r="G156" s="39" t="s">
        <v>10</v>
      </c>
      <c r="H156" s="39" t="s">
        <v>18</v>
      </c>
      <c r="I156" s="44"/>
      <c r="J156" s="35"/>
    </row>
    <row r="157" spans="1:10" x14ac:dyDescent="0.25">
      <c r="A157" s="28">
        <f t="shared" si="14"/>
        <v>45393</v>
      </c>
      <c r="B157" s="29">
        <f>+$B$156+1</f>
        <v>45393</v>
      </c>
      <c r="C157" s="30">
        <f t="shared" si="15"/>
        <v>45393</v>
      </c>
      <c r="D157" s="36">
        <f t="shared" si="10"/>
        <v>15</v>
      </c>
      <c r="E157" s="40">
        <v>1.5</v>
      </c>
      <c r="F157" s="41" t="s">
        <v>15</v>
      </c>
      <c r="G157" s="42" t="s">
        <v>16</v>
      </c>
      <c r="H157" s="42" t="s">
        <v>17</v>
      </c>
      <c r="I157" s="44"/>
      <c r="J157" s="35"/>
    </row>
    <row r="158" spans="1:10" x14ac:dyDescent="0.25">
      <c r="A158" s="28">
        <f t="shared" si="14"/>
        <v>45393</v>
      </c>
      <c r="B158" s="29">
        <f>+$B$156+1</f>
        <v>45393</v>
      </c>
      <c r="C158" s="30">
        <f t="shared" si="15"/>
        <v>45393</v>
      </c>
      <c r="D158" s="36">
        <f t="shared" si="10"/>
        <v>15</v>
      </c>
      <c r="E158" s="40">
        <v>3</v>
      </c>
      <c r="F158" s="41" t="s">
        <v>9</v>
      </c>
      <c r="G158" s="42" t="s">
        <v>10</v>
      </c>
      <c r="H158" s="42" t="s">
        <v>18</v>
      </c>
      <c r="I158" s="44"/>
      <c r="J158" s="35"/>
    </row>
    <row r="159" spans="1:10" x14ac:dyDescent="0.25">
      <c r="A159" s="28">
        <f t="shared" si="14"/>
        <v>45393</v>
      </c>
      <c r="B159" s="29">
        <f>+$B$156+1</f>
        <v>45393</v>
      </c>
      <c r="C159" s="30">
        <f t="shared" si="15"/>
        <v>45393</v>
      </c>
      <c r="D159" s="36">
        <f t="shared" si="10"/>
        <v>15</v>
      </c>
      <c r="E159" s="40">
        <v>4</v>
      </c>
      <c r="F159" s="41" t="s">
        <v>6</v>
      </c>
      <c r="G159" s="42" t="s">
        <v>26</v>
      </c>
      <c r="H159" s="42" t="s">
        <v>27</v>
      </c>
      <c r="I159" s="44"/>
      <c r="J159" s="35"/>
    </row>
    <row r="160" spans="1:10" x14ac:dyDescent="0.25">
      <c r="A160" s="28">
        <f t="shared" si="14"/>
        <v>45394</v>
      </c>
      <c r="B160" s="29">
        <f>+B157+1</f>
        <v>45394</v>
      </c>
      <c r="C160" s="30">
        <f t="shared" si="15"/>
        <v>45394</v>
      </c>
      <c r="D160" s="36">
        <f t="shared" si="10"/>
        <v>15</v>
      </c>
      <c r="E160" s="37">
        <v>6</v>
      </c>
      <c r="F160" s="38" t="s">
        <v>6</v>
      </c>
      <c r="G160" s="39" t="s">
        <v>26</v>
      </c>
      <c r="H160" s="39" t="s">
        <v>27</v>
      </c>
      <c r="I160" s="44"/>
      <c r="J160" s="35">
        <f>SUM(E153:E160)</f>
        <v>40</v>
      </c>
    </row>
    <row r="161" spans="1:10" x14ac:dyDescent="0.25">
      <c r="A161" s="28">
        <f t="shared" si="14"/>
        <v>45395</v>
      </c>
      <c r="B161" s="29">
        <f t="shared" si="13"/>
        <v>45395</v>
      </c>
      <c r="C161" s="30">
        <f t="shared" si="15"/>
        <v>45395</v>
      </c>
      <c r="D161" s="36">
        <f t="shared" si="10"/>
        <v>15</v>
      </c>
      <c r="E161" s="32"/>
      <c r="F161" s="33"/>
      <c r="G161" s="45"/>
      <c r="H161" s="45"/>
      <c r="I161" s="44"/>
      <c r="J161" s="35"/>
    </row>
    <row r="162" spans="1:10" x14ac:dyDescent="0.25">
      <c r="A162" s="28">
        <f t="shared" si="14"/>
        <v>45396</v>
      </c>
      <c r="B162" s="29">
        <f t="shared" si="13"/>
        <v>45396</v>
      </c>
      <c r="C162" s="30">
        <f t="shared" si="15"/>
        <v>45396</v>
      </c>
      <c r="D162" s="36">
        <f t="shared" si="10"/>
        <v>16</v>
      </c>
      <c r="E162" s="32"/>
      <c r="F162" s="33"/>
      <c r="G162" s="43"/>
      <c r="H162" s="43"/>
      <c r="I162" s="44"/>
      <c r="J162" s="35"/>
    </row>
    <row r="163" spans="1:10" x14ac:dyDescent="0.25">
      <c r="A163" s="28">
        <f t="shared" si="14"/>
        <v>45397</v>
      </c>
      <c r="B163" s="29">
        <f t="shared" si="13"/>
        <v>45397</v>
      </c>
      <c r="C163" s="30">
        <f t="shared" si="15"/>
        <v>45397</v>
      </c>
      <c r="D163" s="36">
        <f t="shared" si="10"/>
        <v>16</v>
      </c>
      <c r="E163" s="37">
        <v>8.5</v>
      </c>
      <c r="F163" s="38" t="s">
        <v>9</v>
      </c>
      <c r="G163" s="39" t="s">
        <v>10</v>
      </c>
      <c r="H163" s="39" t="s">
        <v>18</v>
      </c>
      <c r="I163" s="44"/>
      <c r="J163" s="35"/>
    </row>
    <row r="164" spans="1:10" x14ac:dyDescent="0.25">
      <c r="A164" s="28">
        <f t="shared" si="14"/>
        <v>45398</v>
      </c>
      <c r="B164" s="29">
        <f t="shared" si="13"/>
        <v>45398</v>
      </c>
      <c r="C164" s="30">
        <f t="shared" si="15"/>
        <v>45398</v>
      </c>
      <c r="D164" s="36">
        <f t="shared" si="10"/>
        <v>16</v>
      </c>
      <c r="E164" s="40">
        <v>8.5</v>
      </c>
      <c r="F164" s="41" t="s">
        <v>23</v>
      </c>
      <c r="G164" s="42" t="s">
        <v>24</v>
      </c>
      <c r="H164" s="42" t="s">
        <v>29</v>
      </c>
      <c r="I164" s="44"/>
      <c r="J164" s="35"/>
    </row>
    <row r="165" spans="1:10" x14ac:dyDescent="0.25">
      <c r="A165" s="28">
        <f t="shared" si="14"/>
        <v>45399</v>
      </c>
      <c r="B165" s="29">
        <f t="shared" si="13"/>
        <v>45399</v>
      </c>
      <c r="C165" s="30">
        <f t="shared" si="15"/>
        <v>45399</v>
      </c>
      <c r="D165" s="36">
        <f t="shared" si="10"/>
        <v>16</v>
      </c>
      <c r="E165" s="37">
        <v>8.5</v>
      </c>
      <c r="F165" s="38" t="s">
        <v>6</v>
      </c>
      <c r="G165" s="39" t="s">
        <v>26</v>
      </c>
      <c r="H165" s="39" t="s">
        <v>27</v>
      </c>
      <c r="I165" s="44"/>
      <c r="J165" s="35"/>
    </row>
    <row r="166" spans="1:10" x14ac:dyDescent="0.25">
      <c r="A166" s="28">
        <f t="shared" si="14"/>
        <v>45400</v>
      </c>
      <c r="B166" s="29">
        <f t="shared" si="13"/>
        <v>45400</v>
      </c>
      <c r="C166" s="30">
        <f t="shared" si="15"/>
        <v>45400</v>
      </c>
      <c r="D166" s="36">
        <f t="shared" si="10"/>
        <v>16</v>
      </c>
      <c r="E166" s="40">
        <v>8.5</v>
      </c>
      <c r="F166" s="41" t="s">
        <v>23</v>
      </c>
      <c r="G166" s="42" t="s">
        <v>24</v>
      </c>
      <c r="H166" s="42" t="s">
        <v>29</v>
      </c>
      <c r="I166" s="44"/>
      <c r="J166" s="35"/>
    </row>
    <row r="167" spans="1:10" x14ac:dyDescent="0.25">
      <c r="A167" s="28">
        <f t="shared" si="14"/>
        <v>45401</v>
      </c>
      <c r="B167" s="29">
        <f t="shared" si="13"/>
        <v>45401</v>
      </c>
      <c r="C167" s="30">
        <f t="shared" si="15"/>
        <v>45401</v>
      </c>
      <c r="D167" s="36">
        <f t="shared" si="10"/>
        <v>16</v>
      </c>
      <c r="E167" s="37">
        <v>6</v>
      </c>
      <c r="F167" s="38" t="s">
        <v>23</v>
      </c>
      <c r="G167" s="39" t="s">
        <v>24</v>
      </c>
      <c r="H167" s="39" t="s">
        <v>29</v>
      </c>
      <c r="I167" s="44"/>
      <c r="J167" s="35">
        <f>SUM(E163:E167)</f>
        <v>40</v>
      </c>
    </row>
    <row r="168" spans="1:10" x14ac:dyDescent="0.25">
      <c r="A168" s="28">
        <f t="shared" si="14"/>
        <v>45402</v>
      </c>
      <c r="B168" s="29">
        <f t="shared" si="13"/>
        <v>45402</v>
      </c>
      <c r="C168" s="30">
        <f t="shared" si="15"/>
        <v>45402</v>
      </c>
      <c r="D168" s="36">
        <f t="shared" si="10"/>
        <v>16</v>
      </c>
      <c r="E168" s="32"/>
      <c r="F168" s="33"/>
      <c r="G168" s="43"/>
      <c r="H168" s="43"/>
      <c r="I168" s="44"/>
      <c r="J168" s="35"/>
    </row>
    <row r="169" spans="1:10" x14ac:dyDescent="0.25">
      <c r="A169" s="28">
        <f t="shared" si="14"/>
        <v>45403</v>
      </c>
      <c r="B169" s="29">
        <f t="shared" si="13"/>
        <v>45403</v>
      </c>
      <c r="C169" s="30">
        <f t="shared" si="15"/>
        <v>45403</v>
      </c>
      <c r="D169" s="36">
        <f t="shared" si="10"/>
        <v>17</v>
      </c>
      <c r="E169" s="32"/>
      <c r="F169" s="33"/>
      <c r="G169" s="43"/>
      <c r="H169" s="43"/>
      <c r="I169" s="44"/>
      <c r="J169" s="35"/>
    </row>
    <row r="170" spans="1:10" x14ac:dyDescent="0.25">
      <c r="A170" s="28">
        <f t="shared" si="14"/>
        <v>45404</v>
      </c>
      <c r="B170" s="29">
        <f t="shared" si="13"/>
        <v>45404</v>
      </c>
      <c r="C170" s="30">
        <f t="shared" si="15"/>
        <v>45404</v>
      </c>
      <c r="D170" s="36">
        <f t="shared" si="10"/>
        <v>17</v>
      </c>
      <c r="E170" s="37">
        <v>8.5</v>
      </c>
      <c r="F170" s="38" t="s">
        <v>9</v>
      </c>
      <c r="G170" s="39" t="s">
        <v>10</v>
      </c>
      <c r="H170" s="39" t="s">
        <v>18</v>
      </c>
      <c r="I170" s="44"/>
      <c r="J170" s="35"/>
    </row>
    <row r="171" spans="1:10" x14ac:dyDescent="0.25">
      <c r="A171" s="28">
        <f t="shared" si="14"/>
        <v>45405</v>
      </c>
      <c r="B171" s="29">
        <f>+$B$170+1</f>
        <v>45405</v>
      </c>
      <c r="C171" s="30">
        <f t="shared" si="15"/>
        <v>45405</v>
      </c>
      <c r="D171" s="36">
        <f t="shared" si="10"/>
        <v>17</v>
      </c>
      <c r="E171" s="40">
        <v>1.5</v>
      </c>
      <c r="F171" s="41" t="s">
        <v>15</v>
      </c>
      <c r="G171" s="42" t="s">
        <v>16</v>
      </c>
      <c r="H171" s="42" t="s">
        <v>17</v>
      </c>
      <c r="I171" s="44"/>
      <c r="J171" s="35"/>
    </row>
    <row r="172" spans="1:10" x14ac:dyDescent="0.25">
      <c r="A172" s="28">
        <f t="shared" si="14"/>
        <v>45405</v>
      </c>
      <c r="B172" s="29">
        <f>+$B$170+1</f>
        <v>45405</v>
      </c>
      <c r="C172" s="30">
        <f t="shared" si="15"/>
        <v>45405</v>
      </c>
      <c r="D172" s="36">
        <f t="shared" ref="D172:D235" si="16">WEEKNUM(A172)</f>
        <v>17</v>
      </c>
      <c r="E172" s="40">
        <v>4</v>
      </c>
      <c r="F172" s="41" t="s">
        <v>9</v>
      </c>
      <c r="G172" s="42" t="s">
        <v>10</v>
      </c>
      <c r="H172" s="42" t="s">
        <v>18</v>
      </c>
      <c r="I172" s="44"/>
      <c r="J172" s="35"/>
    </row>
    <row r="173" spans="1:10" x14ac:dyDescent="0.25">
      <c r="A173" s="28">
        <f t="shared" si="14"/>
        <v>45405</v>
      </c>
      <c r="B173" s="29">
        <f>+$B$170+1</f>
        <v>45405</v>
      </c>
      <c r="C173" s="30">
        <f t="shared" si="15"/>
        <v>45405</v>
      </c>
      <c r="D173" s="36">
        <f t="shared" si="16"/>
        <v>17</v>
      </c>
      <c r="E173" s="40">
        <v>3</v>
      </c>
      <c r="F173" s="41" t="s">
        <v>6</v>
      </c>
      <c r="G173" s="42" t="s">
        <v>26</v>
      </c>
      <c r="H173" s="42" t="s">
        <v>27</v>
      </c>
      <c r="I173" s="44"/>
      <c r="J173" s="35"/>
    </row>
    <row r="174" spans="1:10" x14ac:dyDescent="0.25">
      <c r="A174" s="28">
        <f t="shared" si="14"/>
        <v>45406</v>
      </c>
      <c r="B174" s="29">
        <f>+B171+1</f>
        <v>45406</v>
      </c>
      <c r="C174" s="30">
        <f t="shared" si="15"/>
        <v>45406</v>
      </c>
      <c r="D174" s="36">
        <f t="shared" si="16"/>
        <v>17</v>
      </c>
      <c r="E174" s="37">
        <v>8.5</v>
      </c>
      <c r="F174" s="38" t="s">
        <v>23</v>
      </c>
      <c r="G174" s="39" t="s">
        <v>24</v>
      </c>
      <c r="H174" s="39" t="s">
        <v>29</v>
      </c>
      <c r="I174" s="44"/>
      <c r="J174" s="35"/>
    </row>
    <row r="175" spans="1:10" x14ac:dyDescent="0.25">
      <c r="A175" s="28">
        <f t="shared" si="14"/>
        <v>45407</v>
      </c>
      <c r="B175" s="29">
        <f>+$B$174+1</f>
        <v>45407</v>
      </c>
      <c r="C175" s="30">
        <f t="shared" si="15"/>
        <v>45407</v>
      </c>
      <c r="D175" s="36">
        <f t="shared" si="16"/>
        <v>17</v>
      </c>
      <c r="E175" s="40">
        <v>1.5</v>
      </c>
      <c r="F175" s="41" t="s">
        <v>15</v>
      </c>
      <c r="G175" s="42" t="s">
        <v>16</v>
      </c>
      <c r="H175" s="42" t="s">
        <v>17</v>
      </c>
      <c r="I175" s="44"/>
      <c r="J175" s="35"/>
    </row>
    <row r="176" spans="1:10" x14ac:dyDescent="0.25">
      <c r="A176" s="28">
        <f t="shared" si="14"/>
        <v>45407</v>
      </c>
      <c r="B176" s="29">
        <f>+$B$174+1</f>
        <v>45407</v>
      </c>
      <c r="C176" s="30">
        <f t="shared" si="15"/>
        <v>45407</v>
      </c>
      <c r="D176" s="36">
        <f t="shared" si="16"/>
        <v>17</v>
      </c>
      <c r="E176" s="40">
        <v>7</v>
      </c>
      <c r="F176" s="41" t="s">
        <v>23</v>
      </c>
      <c r="G176" s="42" t="s">
        <v>24</v>
      </c>
      <c r="H176" s="42" t="s">
        <v>29</v>
      </c>
      <c r="I176" s="44"/>
      <c r="J176" s="35"/>
    </row>
    <row r="177" spans="1:10" x14ac:dyDescent="0.25">
      <c r="A177" s="28">
        <f t="shared" si="14"/>
        <v>45408</v>
      </c>
      <c r="B177" s="29">
        <f>+B175+1</f>
        <v>45408</v>
      </c>
      <c r="C177" s="30">
        <f t="shared" si="15"/>
        <v>45408</v>
      </c>
      <c r="D177" s="36">
        <f t="shared" si="16"/>
        <v>17</v>
      </c>
      <c r="E177" s="37">
        <v>6</v>
      </c>
      <c r="F177" s="38" t="s">
        <v>9</v>
      </c>
      <c r="G177" s="39" t="s">
        <v>10</v>
      </c>
      <c r="H177" s="39" t="s">
        <v>18</v>
      </c>
      <c r="I177" s="44"/>
      <c r="J177" s="35">
        <f>SUM(E170:E177)</f>
        <v>40</v>
      </c>
    </row>
    <row r="178" spans="1:10" x14ac:dyDescent="0.25">
      <c r="A178" s="28">
        <f t="shared" si="14"/>
        <v>45409</v>
      </c>
      <c r="B178" s="29">
        <f t="shared" ref="B178:B187" si="17">+B177+1</f>
        <v>45409</v>
      </c>
      <c r="C178" s="30">
        <f t="shared" si="15"/>
        <v>45409</v>
      </c>
      <c r="D178" s="36">
        <f t="shared" si="16"/>
        <v>17</v>
      </c>
      <c r="E178" s="32"/>
      <c r="F178" s="33"/>
      <c r="G178" s="43"/>
      <c r="H178" s="43"/>
      <c r="I178" s="44"/>
      <c r="J178" s="35"/>
    </row>
    <row r="179" spans="1:10" x14ac:dyDescent="0.25">
      <c r="A179" s="28">
        <f t="shared" si="14"/>
        <v>45410</v>
      </c>
      <c r="B179" s="29">
        <f t="shared" si="17"/>
        <v>45410</v>
      </c>
      <c r="C179" s="30">
        <f t="shared" si="15"/>
        <v>45410</v>
      </c>
      <c r="D179" s="36">
        <f t="shared" si="16"/>
        <v>18</v>
      </c>
      <c r="E179" s="32"/>
      <c r="F179" s="33"/>
      <c r="G179" s="43"/>
      <c r="H179" s="43"/>
      <c r="I179" s="44"/>
      <c r="J179" s="35"/>
    </row>
    <row r="180" spans="1:10" x14ac:dyDescent="0.25">
      <c r="A180" s="28">
        <f t="shared" si="14"/>
        <v>45411</v>
      </c>
      <c r="B180" s="29">
        <f t="shared" si="17"/>
        <v>45411</v>
      </c>
      <c r="C180" s="30">
        <f t="shared" si="15"/>
        <v>45411</v>
      </c>
      <c r="D180" s="36">
        <f t="shared" si="16"/>
        <v>18</v>
      </c>
      <c r="E180" s="37">
        <v>8.5</v>
      </c>
      <c r="F180" s="38" t="s">
        <v>9</v>
      </c>
      <c r="G180" s="39" t="s">
        <v>10</v>
      </c>
      <c r="H180" s="39" t="s">
        <v>18</v>
      </c>
      <c r="I180" s="44"/>
      <c r="J180" s="35"/>
    </row>
    <row r="181" spans="1:10" x14ac:dyDescent="0.25">
      <c r="A181" s="28">
        <f t="shared" si="14"/>
        <v>45412</v>
      </c>
      <c r="B181" s="29">
        <f>+$B$180+1</f>
        <v>45412</v>
      </c>
      <c r="C181" s="30">
        <f t="shared" si="15"/>
        <v>45412</v>
      </c>
      <c r="D181" s="36">
        <f t="shared" si="16"/>
        <v>18</v>
      </c>
      <c r="E181" s="40">
        <v>1.5</v>
      </c>
      <c r="F181" s="41" t="s">
        <v>15</v>
      </c>
      <c r="G181" s="42" t="s">
        <v>16</v>
      </c>
      <c r="H181" s="42" t="s">
        <v>17</v>
      </c>
      <c r="I181" s="44"/>
      <c r="J181" s="35"/>
    </row>
    <row r="182" spans="1:10" x14ac:dyDescent="0.25">
      <c r="A182" s="28">
        <f t="shared" si="14"/>
        <v>45412</v>
      </c>
      <c r="B182" s="29">
        <f>+$B$180+1</f>
        <v>45412</v>
      </c>
      <c r="C182" s="30">
        <f t="shared" si="15"/>
        <v>45412</v>
      </c>
      <c r="D182" s="36">
        <f t="shared" si="16"/>
        <v>18</v>
      </c>
      <c r="E182" s="40">
        <v>7</v>
      </c>
      <c r="F182" s="41" t="s">
        <v>23</v>
      </c>
      <c r="G182" s="42" t="s">
        <v>24</v>
      </c>
      <c r="H182" s="42" t="s">
        <v>29</v>
      </c>
      <c r="I182" s="44"/>
      <c r="J182" s="35"/>
    </row>
    <row r="183" spans="1:10" x14ac:dyDescent="0.25">
      <c r="A183" s="50">
        <f t="shared" si="14"/>
        <v>45413</v>
      </c>
      <c r="B183" s="51">
        <f>+B181+1</f>
        <v>45413</v>
      </c>
      <c r="C183" s="52">
        <f t="shared" si="15"/>
        <v>45413</v>
      </c>
      <c r="D183" s="53">
        <f t="shared" si="16"/>
        <v>18</v>
      </c>
      <c r="E183" s="54" t="s">
        <v>33</v>
      </c>
      <c r="F183" s="55"/>
      <c r="G183" s="56"/>
      <c r="H183" s="56"/>
      <c r="I183" s="44"/>
      <c r="J183" s="35"/>
    </row>
    <row r="184" spans="1:10" x14ac:dyDescent="0.25">
      <c r="A184" s="50">
        <f t="shared" si="14"/>
        <v>45414</v>
      </c>
      <c r="B184" s="51">
        <f t="shared" si="17"/>
        <v>45414</v>
      </c>
      <c r="C184" s="52">
        <f t="shared" si="15"/>
        <v>45414</v>
      </c>
      <c r="D184" s="53">
        <f t="shared" si="16"/>
        <v>18</v>
      </c>
      <c r="E184" s="54" t="s">
        <v>33</v>
      </c>
      <c r="F184" s="55"/>
      <c r="G184" s="56"/>
      <c r="H184" s="56"/>
      <c r="I184" s="44"/>
      <c r="J184" s="35"/>
    </row>
    <row r="185" spans="1:10" x14ac:dyDescent="0.25">
      <c r="A185" s="28">
        <f t="shared" si="14"/>
        <v>45415</v>
      </c>
      <c r="B185" s="29">
        <f t="shared" si="17"/>
        <v>45415</v>
      </c>
      <c r="C185" s="30">
        <f t="shared" si="15"/>
        <v>45415</v>
      </c>
      <c r="D185" s="36">
        <f t="shared" si="16"/>
        <v>18</v>
      </c>
      <c r="E185" s="32">
        <v>6</v>
      </c>
      <c r="F185" s="41" t="s">
        <v>23</v>
      </c>
      <c r="G185" s="42" t="s">
        <v>24</v>
      </c>
      <c r="H185" s="42" t="s">
        <v>29</v>
      </c>
      <c r="I185" s="44"/>
      <c r="J185" s="35">
        <f>SUM(E180:E185)</f>
        <v>23</v>
      </c>
    </row>
    <row r="186" spans="1:10" x14ac:dyDescent="0.25">
      <c r="A186" s="28">
        <f t="shared" si="14"/>
        <v>45416</v>
      </c>
      <c r="B186" s="29">
        <f t="shared" si="17"/>
        <v>45416</v>
      </c>
      <c r="C186" s="30">
        <f t="shared" si="15"/>
        <v>45416</v>
      </c>
      <c r="D186" s="36">
        <f t="shared" si="16"/>
        <v>18</v>
      </c>
      <c r="E186" s="32"/>
      <c r="F186" s="33"/>
      <c r="G186" s="43"/>
      <c r="H186" s="43"/>
      <c r="I186" s="44"/>
      <c r="J186" s="35"/>
    </row>
    <row r="187" spans="1:10" x14ac:dyDescent="0.25">
      <c r="A187" s="28">
        <f t="shared" si="14"/>
        <v>45417</v>
      </c>
      <c r="B187" s="29">
        <f t="shared" si="17"/>
        <v>45417</v>
      </c>
      <c r="C187" s="30">
        <f t="shared" si="15"/>
        <v>45417</v>
      </c>
      <c r="D187" s="36">
        <f t="shared" si="16"/>
        <v>19</v>
      </c>
      <c r="E187" s="32"/>
      <c r="F187" s="33"/>
      <c r="G187" s="43"/>
      <c r="H187" s="43"/>
      <c r="I187" s="44"/>
      <c r="J187" s="35"/>
    </row>
    <row r="188" spans="1:10" x14ac:dyDescent="0.25">
      <c r="A188" s="28">
        <f t="shared" si="14"/>
        <v>45418</v>
      </c>
      <c r="B188" s="29">
        <f>+$B$187+1</f>
        <v>45418</v>
      </c>
      <c r="C188" s="30">
        <f t="shared" si="15"/>
        <v>45418</v>
      </c>
      <c r="D188" s="36">
        <f t="shared" si="16"/>
        <v>19</v>
      </c>
      <c r="E188" s="37">
        <v>2</v>
      </c>
      <c r="F188" s="38" t="s">
        <v>34</v>
      </c>
      <c r="G188" s="39" t="s">
        <v>35</v>
      </c>
      <c r="H188" s="39" t="s">
        <v>36</v>
      </c>
      <c r="I188" s="44"/>
      <c r="J188" s="35"/>
    </row>
    <row r="189" spans="1:10" x14ac:dyDescent="0.25">
      <c r="A189" s="28">
        <f t="shared" si="14"/>
        <v>45418</v>
      </c>
      <c r="B189" s="29">
        <f>+$B$187+1</f>
        <v>45418</v>
      </c>
      <c r="C189" s="30">
        <f t="shared" si="15"/>
        <v>45418</v>
      </c>
      <c r="D189" s="36">
        <f t="shared" si="16"/>
        <v>19</v>
      </c>
      <c r="E189" s="37">
        <v>6.5</v>
      </c>
      <c r="F189" s="38" t="s">
        <v>23</v>
      </c>
      <c r="G189" s="39" t="s">
        <v>24</v>
      </c>
      <c r="H189" s="39" t="s">
        <v>29</v>
      </c>
      <c r="I189" s="44"/>
      <c r="J189" s="35"/>
    </row>
    <row r="190" spans="1:10" x14ac:dyDescent="0.25">
      <c r="A190" s="28">
        <f t="shared" si="14"/>
        <v>45419</v>
      </c>
      <c r="B190" s="29">
        <f>+$B$188+1</f>
        <v>45419</v>
      </c>
      <c r="C190" s="30">
        <f t="shared" si="15"/>
        <v>45419</v>
      </c>
      <c r="D190" s="36">
        <f t="shared" si="16"/>
        <v>19</v>
      </c>
      <c r="E190" s="40">
        <v>1.5</v>
      </c>
      <c r="F190" s="41" t="s">
        <v>15</v>
      </c>
      <c r="G190" s="42" t="s">
        <v>16</v>
      </c>
      <c r="H190" s="42" t="s">
        <v>17</v>
      </c>
      <c r="I190" s="44"/>
      <c r="J190" s="35"/>
    </row>
    <row r="191" spans="1:10" x14ac:dyDescent="0.25">
      <c r="A191" s="28">
        <f t="shared" si="14"/>
        <v>45419</v>
      </c>
      <c r="B191" s="29">
        <f>+$B$188+1</f>
        <v>45419</v>
      </c>
      <c r="C191" s="30">
        <f t="shared" si="15"/>
        <v>45419</v>
      </c>
      <c r="D191" s="36">
        <f t="shared" si="16"/>
        <v>19</v>
      </c>
      <c r="E191" s="40">
        <v>7</v>
      </c>
      <c r="F191" s="41" t="s">
        <v>9</v>
      </c>
      <c r="G191" s="42" t="s">
        <v>10</v>
      </c>
      <c r="H191" s="42" t="s">
        <v>18</v>
      </c>
      <c r="I191" s="44"/>
      <c r="J191" s="35"/>
    </row>
    <row r="192" spans="1:10" x14ac:dyDescent="0.25">
      <c r="A192" s="28">
        <f t="shared" si="14"/>
        <v>45420</v>
      </c>
      <c r="B192" s="29">
        <f>+B190+1</f>
        <v>45420</v>
      </c>
      <c r="C192" s="30">
        <f t="shared" si="15"/>
        <v>45420</v>
      </c>
      <c r="D192" s="36">
        <f t="shared" si="16"/>
        <v>19</v>
      </c>
      <c r="E192" s="37">
        <v>8.5</v>
      </c>
      <c r="F192" s="38" t="s">
        <v>23</v>
      </c>
      <c r="G192" s="39" t="s">
        <v>24</v>
      </c>
      <c r="H192" s="39" t="s">
        <v>29</v>
      </c>
      <c r="I192" s="44"/>
      <c r="J192" s="35"/>
    </row>
    <row r="193" spans="1:10" x14ac:dyDescent="0.25">
      <c r="A193" s="28">
        <f t="shared" si="14"/>
        <v>45421</v>
      </c>
      <c r="B193" s="29">
        <f>+$B$192+1</f>
        <v>45421</v>
      </c>
      <c r="C193" s="30">
        <f t="shared" si="15"/>
        <v>45421</v>
      </c>
      <c r="D193" s="36">
        <f t="shared" si="16"/>
        <v>19</v>
      </c>
      <c r="E193" s="40">
        <v>1.5</v>
      </c>
      <c r="F193" s="41" t="s">
        <v>15</v>
      </c>
      <c r="G193" s="42" t="s">
        <v>16</v>
      </c>
      <c r="H193" s="42" t="s">
        <v>17</v>
      </c>
      <c r="I193" s="44"/>
      <c r="J193" s="35"/>
    </row>
    <row r="194" spans="1:10" x14ac:dyDescent="0.25">
      <c r="A194" s="28">
        <f t="shared" si="14"/>
        <v>45421</v>
      </c>
      <c r="B194" s="29">
        <f>+$B$192+1</f>
        <v>45421</v>
      </c>
      <c r="C194" s="30">
        <f t="shared" si="15"/>
        <v>45421</v>
      </c>
      <c r="D194" s="36">
        <f t="shared" si="16"/>
        <v>19</v>
      </c>
      <c r="E194" s="40">
        <v>7</v>
      </c>
      <c r="F194" s="41" t="s">
        <v>23</v>
      </c>
      <c r="G194" s="42" t="s">
        <v>24</v>
      </c>
      <c r="H194" s="42" t="s">
        <v>29</v>
      </c>
      <c r="I194" s="44"/>
      <c r="J194" s="35"/>
    </row>
    <row r="195" spans="1:10" x14ac:dyDescent="0.25">
      <c r="A195" s="28">
        <f t="shared" si="14"/>
        <v>45422</v>
      </c>
      <c r="B195" s="29">
        <f>+B193+1</f>
        <v>45422</v>
      </c>
      <c r="C195" s="30">
        <f t="shared" si="15"/>
        <v>45422</v>
      </c>
      <c r="D195" s="36">
        <f t="shared" si="16"/>
        <v>19</v>
      </c>
      <c r="E195" s="37">
        <v>6</v>
      </c>
      <c r="F195" s="38" t="s">
        <v>9</v>
      </c>
      <c r="G195" s="39" t="s">
        <v>10</v>
      </c>
      <c r="H195" s="39" t="s">
        <v>18</v>
      </c>
      <c r="I195" s="44"/>
      <c r="J195" s="35">
        <f>SUM(E188:E195)</f>
        <v>40</v>
      </c>
    </row>
    <row r="196" spans="1:10" x14ac:dyDescent="0.25">
      <c r="A196" s="28">
        <f t="shared" si="14"/>
        <v>45423</v>
      </c>
      <c r="B196" s="29">
        <f t="shared" ref="B196:B258" si="18">+B195+1</f>
        <v>45423</v>
      </c>
      <c r="C196" s="30">
        <f t="shared" si="15"/>
        <v>45423</v>
      </c>
      <c r="D196" s="36">
        <f t="shared" si="16"/>
        <v>19</v>
      </c>
      <c r="E196" s="32"/>
      <c r="F196" s="33"/>
      <c r="G196" s="43"/>
      <c r="H196" s="43"/>
      <c r="I196" s="44"/>
      <c r="J196" s="35"/>
    </row>
    <row r="197" spans="1:10" x14ac:dyDescent="0.25">
      <c r="A197" s="28">
        <f t="shared" si="14"/>
        <v>45424</v>
      </c>
      <c r="B197" s="29">
        <f t="shared" si="18"/>
        <v>45424</v>
      </c>
      <c r="C197" s="30">
        <f t="shared" si="15"/>
        <v>45424</v>
      </c>
      <c r="D197" s="36">
        <f t="shared" si="16"/>
        <v>20</v>
      </c>
      <c r="E197" s="32"/>
      <c r="F197" s="33"/>
      <c r="G197" s="43"/>
      <c r="H197" s="43"/>
      <c r="I197" s="44"/>
      <c r="J197" s="35"/>
    </row>
    <row r="198" spans="1:10" x14ac:dyDescent="0.25">
      <c r="A198" s="28">
        <f t="shared" si="14"/>
        <v>45425</v>
      </c>
      <c r="B198" s="29">
        <f t="shared" si="18"/>
        <v>45425</v>
      </c>
      <c r="C198" s="30">
        <f t="shared" si="15"/>
        <v>45425</v>
      </c>
      <c r="D198" s="36">
        <f t="shared" si="16"/>
        <v>20</v>
      </c>
      <c r="E198" s="37">
        <v>8.5</v>
      </c>
      <c r="F198" s="38" t="s">
        <v>23</v>
      </c>
      <c r="G198" s="39" t="s">
        <v>24</v>
      </c>
      <c r="H198" s="39" t="s">
        <v>29</v>
      </c>
      <c r="I198" s="44"/>
      <c r="J198" s="35"/>
    </row>
    <row r="199" spans="1:10" x14ac:dyDescent="0.25">
      <c r="A199" s="28">
        <f t="shared" si="14"/>
        <v>45426</v>
      </c>
      <c r="B199" s="29">
        <f>+$B$198+1</f>
        <v>45426</v>
      </c>
      <c r="C199" s="30">
        <f t="shared" si="15"/>
        <v>45426</v>
      </c>
      <c r="D199" s="36">
        <f t="shared" si="16"/>
        <v>20</v>
      </c>
      <c r="E199" s="40">
        <v>1.5</v>
      </c>
      <c r="F199" s="41" t="s">
        <v>15</v>
      </c>
      <c r="G199" s="42" t="s">
        <v>19</v>
      </c>
      <c r="H199" s="42" t="s">
        <v>20</v>
      </c>
      <c r="I199" s="44"/>
      <c r="J199" s="35"/>
    </row>
    <row r="200" spans="1:10" x14ac:dyDescent="0.25">
      <c r="A200" s="28">
        <f t="shared" si="14"/>
        <v>45426</v>
      </c>
      <c r="B200" s="29">
        <f>+$B$198+1</f>
        <v>45426</v>
      </c>
      <c r="C200" s="30">
        <f t="shared" si="15"/>
        <v>45426</v>
      </c>
      <c r="D200" s="36">
        <f t="shared" si="16"/>
        <v>20</v>
      </c>
      <c r="E200" s="40">
        <v>7</v>
      </c>
      <c r="F200" s="41" t="s">
        <v>23</v>
      </c>
      <c r="G200" s="42" t="s">
        <v>24</v>
      </c>
      <c r="H200" s="42" t="s">
        <v>29</v>
      </c>
      <c r="I200" s="44"/>
      <c r="J200" s="35"/>
    </row>
    <row r="201" spans="1:10" x14ac:dyDescent="0.25">
      <c r="A201" s="50">
        <f t="shared" si="14"/>
        <v>45427</v>
      </c>
      <c r="B201" s="51">
        <f>+B199+1</f>
        <v>45427</v>
      </c>
      <c r="C201" s="52">
        <f t="shared" si="15"/>
        <v>45427</v>
      </c>
      <c r="D201" s="53">
        <f t="shared" si="16"/>
        <v>20</v>
      </c>
      <c r="E201" s="54" t="s">
        <v>33</v>
      </c>
      <c r="F201" s="55"/>
      <c r="G201" s="56"/>
      <c r="H201" s="56"/>
      <c r="I201" s="44"/>
      <c r="J201" s="35"/>
    </row>
    <row r="202" spans="1:10" x14ac:dyDescent="0.25">
      <c r="A202" s="28">
        <f t="shared" si="14"/>
        <v>45428</v>
      </c>
      <c r="B202" s="29">
        <f>+$B$201+1</f>
        <v>45428</v>
      </c>
      <c r="C202" s="30">
        <f t="shared" si="15"/>
        <v>45428</v>
      </c>
      <c r="D202" s="36">
        <f t="shared" si="16"/>
        <v>20</v>
      </c>
      <c r="E202" s="40">
        <v>1.5</v>
      </c>
      <c r="F202" s="41" t="s">
        <v>15</v>
      </c>
      <c r="G202" s="42" t="s">
        <v>16</v>
      </c>
      <c r="H202" s="42" t="s">
        <v>17</v>
      </c>
      <c r="I202" s="44"/>
      <c r="J202" s="35"/>
    </row>
    <row r="203" spans="1:10" x14ac:dyDescent="0.25">
      <c r="A203" s="28">
        <f t="shared" si="14"/>
        <v>45428</v>
      </c>
      <c r="B203" s="29">
        <f>+$B$201+1</f>
        <v>45428</v>
      </c>
      <c r="C203" s="30">
        <f t="shared" si="15"/>
        <v>45428</v>
      </c>
      <c r="D203" s="36">
        <f t="shared" si="16"/>
        <v>20</v>
      </c>
      <c r="E203" s="40">
        <v>7</v>
      </c>
      <c r="F203" s="41" t="s">
        <v>23</v>
      </c>
      <c r="G203" s="42" t="s">
        <v>24</v>
      </c>
      <c r="H203" s="42" t="s">
        <v>29</v>
      </c>
      <c r="I203" s="44"/>
      <c r="J203" s="35"/>
    </row>
    <row r="204" spans="1:10" x14ac:dyDescent="0.25">
      <c r="A204" s="28">
        <f t="shared" si="14"/>
        <v>45429</v>
      </c>
      <c r="B204" s="29">
        <f>+$B$202+1</f>
        <v>45429</v>
      </c>
      <c r="C204" s="30">
        <f t="shared" si="15"/>
        <v>45429</v>
      </c>
      <c r="D204" s="36">
        <f t="shared" si="16"/>
        <v>20</v>
      </c>
      <c r="E204" s="37">
        <v>3</v>
      </c>
      <c r="F204" s="38" t="s">
        <v>9</v>
      </c>
      <c r="G204" s="39" t="s">
        <v>10</v>
      </c>
      <c r="H204" s="39" t="s">
        <v>18</v>
      </c>
      <c r="I204" s="44"/>
      <c r="J204" s="35"/>
    </row>
    <row r="205" spans="1:10" x14ac:dyDescent="0.25">
      <c r="A205" s="28">
        <f t="shared" si="14"/>
        <v>45429</v>
      </c>
      <c r="B205" s="29">
        <f>+$B$202+1</f>
        <v>45429</v>
      </c>
      <c r="C205" s="30">
        <f t="shared" si="15"/>
        <v>45429</v>
      </c>
      <c r="D205" s="36">
        <f t="shared" si="16"/>
        <v>20</v>
      </c>
      <c r="E205" s="37">
        <v>3</v>
      </c>
      <c r="F205" s="38" t="s">
        <v>23</v>
      </c>
      <c r="G205" s="39" t="s">
        <v>24</v>
      </c>
      <c r="H205" s="39" t="s">
        <v>29</v>
      </c>
      <c r="I205" s="44"/>
      <c r="J205" s="35">
        <f>SUM(E198:E205)</f>
        <v>31.5</v>
      </c>
    </row>
    <row r="206" spans="1:10" x14ac:dyDescent="0.25">
      <c r="A206" s="28">
        <f t="shared" si="14"/>
        <v>45430</v>
      </c>
      <c r="B206" s="29">
        <f>+B204+1</f>
        <v>45430</v>
      </c>
      <c r="C206" s="30">
        <f t="shared" si="15"/>
        <v>45430</v>
      </c>
      <c r="D206" s="36">
        <f t="shared" si="16"/>
        <v>20</v>
      </c>
      <c r="E206" s="32"/>
      <c r="F206" s="33"/>
      <c r="G206" s="43"/>
      <c r="H206" s="43"/>
      <c r="I206" s="44"/>
      <c r="J206" s="35"/>
    </row>
    <row r="207" spans="1:10" x14ac:dyDescent="0.25">
      <c r="A207" s="28">
        <f t="shared" si="14"/>
        <v>45431</v>
      </c>
      <c r="B207" s="29">
        <f t="shared" si="18"/>
        <v>45431</v>
      </c>
      <c r="C207" s="30">
        <f t="shared" si="15"/>
        <v>45431</v>
      </c>
      <c r="D207" s="36">
        <f t="shared" si="16"/>
        <v>21</v>
      </c>
      <c r="E207" s="32"/>
      <c r="F207" s="33"/>
      <c r="G207" s="43"/>
      <c r="H207" s="43"/>
      <c r="I207" s="44"/>
      <c r="J207" s="35"/>
    </row>
    <row r="208" spans="1:10" x14ac:dyDescent="0.25">
      <c r="A208" s="28">
        <f t="shared" si="14"/>
        <v>45432</v>
      </c>
      <c r="B208" s="29">
        <f>+$B$207+1</f>
        <v>45432</v>
      </c>
      <c r="C208" s="30">
        <f t="shared" si="15"/>
        <v>45432</v>
      </c>
      <c r="D208" s="36">
        <f t="shared" si="16"/>
        <v>21</v>
      </c>
      <c r="E208" s="37">
        <v>6</v>
      </c>
      <c r="F208" s="38" t="s">
        <v>23</v>
      </c>
      <c r="G208" s="39" t="s">
        <v>24</v>
      </c>
      <c r="H208" s="39" t="s">
        <v>29</v>
      </c>
      <c r="I208" s="44"/>
      <c r="J208" s="35"/>
    </row>
    <row r="209" spans="1:10" x14ac:dyDescent="0.25">
      <c r="A209" s="28">
        <f t="shared" si="14"/>
        <v>45432</v>
      </c>
      <c r="B209" s="29">
        <f>+$B$207+1</f>
        <v>45432</v>
      </c>
      <c r="C209" s="30">
        <f t="shared" si="15"/>
        <v>45432</v>
      </c>
      <c r="D209" s="36">
        <f t="shared" si="16"/>
        <v>21</v>
      </c>
      <c r="E209" s="37">
        <v>2.5</v>
      </c>
      <c r="F209" s="38" t="s">
        <v>9</v>
      </c>
      <c r="G209" s="39" t="s">
        <v>10</v>
      </c>
      <c r="H209" s="39" t="s">
        <v>18</v>
      </c>
      <c r="I209" s="44"/>
      <c r="J209" s="35"/>
    </row>
    <row r="210" spans="1:10" x14ac:dyDescent="0.25">
      <c r="A210" s="28">
        <f t="shared" si="14"/>
        <v>45433</v>
      </c>
      <c r="B210" s="29">
        <f>+$B$208+1</f>
        <v>45433</v>
      </c>
      <c r="C210" s="30">
        <f t="shared" si="15"/>
        <v>45433</v>
      </c>
      <c r="D210" s="36">
        <f t="shared" si="16"/>
        <v>21</v>
      </c>
      <c r="E210" s="40">
        <v>1.5</v>
      </c>
      <c r="F210" s="41" t="s">
        <v>15</v>
      </c>
      <c r="G210" s="42" t="s">
        <v>16</v>
      </c>
      <c r="H210" s="42" t="s">
        <v>17</v>
      </c>
      <c r="I210" s="44"/>
      <c r="J210" s="35"/>
    </row>
    <row r="211" spans="1:10" x14ac:dyDescent="0.25">
      <c r="A211" s="28">
        <f t="shared" si="14"/>
        <v>45433</v>
      </c>
      <c r="B211" s="29">
        <f>+$B$208+1</f>
        <v>45433</v>
      </c>
      <c r="C211" s="30">
        <f t="shared" si="15"/>
        <v>45433</v>
      </c>
      <c r="D211" s="36">
        <f t="shared" si="16"/>
        <v>21</v>
      </c>
      <c r="E211" s="40">
        <v>7</v>
      </c>
      <c r="F211" s="41" t="s">
        <v>23</v>
      </c>
      <c r="G211" s="42" t="s">
        <v>24</v>
      </c>
      <c r="H211" s="42" t="s">
        <v>29</v>
      </c>
      <c r="I211" s="44"/>
      <c r="J211" s="35"/>
    </row>
    <row r="212" spans="1:10" x14ac:dyDescent="0.25">
      <c r="A212" s="28">
        <f t="shared" si="14"/>
        <v>45434</v>
      </c>
      <c r="B212" s="29">
        <f>+B210+1</f>
        <v>45434</v>
      </c>
      <c r="C212" s="30">
        <f t="shared" si="15"/>
        <v>45434</v>
      </c>
      <c r="D212" s="36">
        <f t="shared" si="16"/>
        <v>21</v>
      </c>
      <c r="E212" s="37">
        <v>8.5</v>
      </c>
      <c r="F212" s="38" t="s">
        <v>23</v>
      </c>
      <c r="G212" s="39" t="s">
        <v>24</v>
      </c>
      <c r="H212" s="39" t="s">
        <v>29</v>
      </c>
      <c r="I212" s="44"/>
      <c r="J212" s="35"/>
    </row>
    <row r="213" spans="1:10" x14ac:dyDescent="0.25">
      <c r="A213" s="28">
        <f t="shared" si="14"/>
        <v>45435</v>
      </c>
      <c r="B213" s="29">
        <f>+$B$212+1</f>
        <v>45435</v>
      </c>
      <c r="C213" s="30">
        <f t="shared" si="15"/>
        <v>45435</v>
      </c>
      <c r="D213" s="36">
        <f t="shared" si="16"/>
        <v>21</v>
      </c>
      <c r="E213" s="40">
        <v>1.5</v>
      </c>
      <c r="F213" s="41" t="s">
        <v>15</v>
      </c>
      <c r="G213" s="42" t="s">
        <v>16</v>
      </c>
      <c r="H213" s="42" t="s">
        <v>17</v>
      </c>
      <c r="I213" s="44"/>
      <c r="J213" s="35"/>
    </row>
    <row r="214" spans="1:10" x14ac:dyDescent="0.25">
      <c r="A214" s="28">
        <f t="shared" si="14"/>
        <v>45435</v>
      </c>
      <c r="B214" s="29">
        <f>+$B$212+1</f>
        <v>45435</v>
      </c>
      <c r="C214" s="30">
        <f t="shared" si="15"/>
        <v>45435</v>
      </c>
      <c r="D214" s="36">
        <f t="shared" si="16"/>
        <v>21</v>
      </c>
      <c r="E214" s="40">
        <v>3</v>
      </c>
      <c r="F214" s="41" t="s">
        <v>23</v>
      </c>
      <c r="G214" s="42" t="s">
        <v>24</v>
      </c>
      <c r="H214" s="42" t="s">
        <v>29</v>
      </c>
      <c r="I214" s="44"/>
      <c r="J214" s="35"/>
    </row>
    <row r="215" spans="1:10" x14ac:dyDescent="0.25">
      <c r="A215" s="28">
        <f t="shared" si="14"/>
        <v>45435</v>
      </c>
      <c r="B215" s="29">
        <f>+$B$212+1</f>
        <v>45435</v>
      </c>
      <c r="C215" s="30">
        <f t="shared" si="15"/>
        <v>45435</v>
      </c>
      <c r="D215" s="36">
        <f t="shared" si="16"/>
        <v>21</v>
      </c>
      <c r="E215" s="40">
        <v>4</v>
      </c>
      <c r="F215" s="41" t="s">
        <v>9</v>
      </c>
      <c r="G215" s="42" t="s">
        <v>10</v>
      </c>
      <c r="H215" s="42" t="s">
        <v>18</v>
      </c>
      <c r="I215" s="44"/>
      <c r="J215" s="35"/>
    </row>
    <row r="216" spans="1:10" x14ac:dyDescent="0.25">
      <c r="A216" s="28">
        <f t="shared" si="14"/>
        <v>45436</v>
      </c>
      <c r="B216" s="29">
        <f>+$B$213+1</f>
        <v>45436</v>
      </c>
      <c r="C216" s="30">
        <f t="shared" si="15"/>
        <v>45436</v>
      </c>
      <c r="D216" s="36">
        <f t="shared" si="16"/>
        <v>21</v>
      </c>
      <c r="E216" s="37">
        <v>6</v>
      </c>
      <c r="F216" s="38" t="s">
        <v>9</v>
      </c>
      <c r="G216" s="39" t="s">
        <v>10</v>
      </c>
      <c r="H216" s="39" t="s">
        <v>18</v>
      </c>
      <c r="I216" s="44"/>
      <c r="J216" s="35">
        <f>SUM(E208:E216)</f>
        <v>40</v>
      </c>
    </row>
    <row r="217" spans="1:10" x14ac:dyDescent="0.25">
      <c r="A217" s="28">
        <f t="shared" si="14"/>
        <v>45437</v>
      </c>
      <c r="B217" s="29">
        <f>+B216+1</f>
        <v>45437</v>
      </c>
      <c r="C217" s="30">
        <f t="shared" si="15"/>
        <v>45437</v>
      </c>
      <c r="D217" s="36">
        <f t="shared" si="16"/>
        <v>21</v>
      </c>
      <c r="E217" s="32"/>
      <c r="F217" s="33"/>
      <c r="G217" s="43"/>
      <c r="H217" s="43"/>
      <c r="I217" s="44"/>
      <c r="J217" s="35"/>
    </row>
    <row r="218" spans="1:10" x14ac:dyDescent="0.25">
      <c r="A218" s="28">
        <f t="shared" ref="A218:A300" si="19">B218</f>
        <v>45438</v>
      </c>
      <c r="B218" s="29">
        <f t="shared" si="18"/>
        <v>45438</v>
      </c>
      <c r="C218" s="30">
        <f t="shared" ref="C218:C300" si="20">B218</f>
        <v>45438</v>
      </c>
      <c r="D218" s="36">
        <f t="shared" si="16"/>
        <v>22</v>
      </c>
      <c r="E218" s="32"/>
      <c r="F218" s="33"/>
      <c r="G218" s="43"/>
      <c r="H218" s="43"/>
      <c r="I218" s="44"/>
      <c r="J218" s="35"/>
    </row>
    <row r="219" spans="1:10" x14ac:dyDescent="0.25">
      <c r="A219" s="28">
        <f t="shared" si="19"/>
        <v>45439</v>
      </c>
      <c r="B219" s="29">
        <f t="shared" si="18"/>
        <v>45439</v>
      </c>
      <c r="C219" s="30">
        <f t="shared" si="20"/>
        <v>45439</v>
      </c>
      <c r="D219" s="36">
        <f t="shared" si="16"/>
        <v>22</v>
      </c>
      <c r="E219" s="37">
        <v>8.5</v>
      </c>
      <c r="F219" s="38" t="s">
        <v>34</v>
      </c>
      <c r="G219" s="39" t="s">
        <v>35</v>
      </c>
      <c r="H219" s="39" t="s">
        <v>37</v>
      </c>
      <c r="I219" s="44"/>
      <c r="J219" s="35"/>
    </row>
    <row r="220" spans="1:10" x14ac:dyDescent="0.25">
      <c r="A220" s="28">
        <f t="shared" si="19"/>
        <v>45440</v>
      </c>
      <c r="B220" s="29">
        <f>+$B$219+1</f>
        <v>45440</v>
      </c>
      <c r="C220" s="30">
        <f t="shared" si="20"/>
        <v>45440</v>
      </c>
      <c r="D220" s="36">
        <f t="shared" si="16"/>
        <v>22</v>
      </c>
      <c r="E220" s="40">
        <v>0</v>
      </c>
      <c r="F220" s="41" t="s">
        <v>15</v>
      </c>
      <c r="G220" s="42" t="s">
        <v>16</v>
      </c>
      <c r="H220" s="42" t="s">
        <v>38</v>
      </c>
      <c r="I220" s="44"/>
      <c r="J220" s="35"/>
    </row>
    <row r="221" spans="1:10" x14ac:dyDescent="0.25">
      <c r="A221" s="28">
        <f t="shared" si="19"/>
        <v>45440</v>
      </c>
      <c r="B221" s="29">
        <f>+$B$219+1</f>
        <v>45440</v>
      </c>
      <c r="C221" s="30">
        <f t="shared" si="20"/>
        <v>45440</v>
      </c>
      <c r="D221" s="36">
        <f t="shared" si="16"/>
        <v>22</v>
      </c>
      <c r="E221" s="40">
        <v>8.5</v>
      </c>
      <c r="F221" s="41" t="s">
        <v>34</v>
      </c>
      <c r="G221" s="42" t="s">
        <v>35</v>
      </c>
      <c r="H221" s="42" t="s">
        <v>37</v>
      </c>
      <c r="I221" s="44"/>
      <c r="J221" s="35"/>
    </row>
    <row r="222" spans="1:10" x14ac:dyDescent="0.25">
      <c r="A222" s="28">
        <f t="shared" si="19"/>
        <v>45441</v>
      </c>
      <c r="B222" s="29">
        <f>+B220+1</f>
        <v>45441</v>
      </c>
      <c r="C222" s="30">
        <f t="shared" si="20"/>
        <v>45441</v>
      </c>
      <c r="D222" s="36">
        <f t="shared" si="16"/>
        <v>22</v>
      </c>
      <c r="E222" s="37">
        <v>8.5</v>
      </c>
      <c r="F222" s="38" t="s">
        <v>34</v>
      </c>
      <c r="G222" s="39" t="s">
        <v>35</v>
      </c>
      <c r="H222" s="39" t="s">
        <v>37</v>
      </c>
      <c r="I222" s="44"/>
      <c r="J222" s="35"/>
    </row>
    <row r="223" spans="1:10" x14ac:dyDescent="0.25">
      <c r="A223" s="28">
        <f t="shared" si="19"/>
        <v>45442</v>
      </c>
      <c r="B223" s="29">
        <f t="shared" si="18"/>
        <v>45442</v>
      </c>
      <c r="C223" s="30">
        <f t="shared" si="20"/>
        <v>45442</v>
      </c>
      <c r="D223" s="36">
        <f t="shared" si="16"/>
        <v>22</v>
      </c>
      <c r="E223" s="58" t="s">
        <v>39</v>
      </c>
      <c r="F223" s="33"/>
      <c r="G223" s="43"/>
      <c r="H223" s="43"/>
      <c r="I223" s="44"/>
      <c r="J223" s="35"/>
    </row>
    <row r="224" spans="1:10" x14ac:dyDescent="0.25">
      <c r="A224" s="28">
        <f t="shared" si="19"/>
        <v>45443</v>
      </c>
      <c r="B224" s="29">
        <f t="shared" si="18"/>
        <v>45443</v>
      </c>
      <c r="C224" s="30">
        <f t="shared" si="20"/>
        <v>45443</v>
      </c>
      <c r="D224" s="36">
        <f t="shared" si="16"/>
        <v>22</v>
      </c>
      <c r="E224" s="58" t="s">
        <v>39</v>
      </c>
      <c r="F224" s="33"/>
      <c r="G224" s="43"/>
      <c r="H224" s="43"/>
      <c r="I224" s="44"/>
      <c r="J224" s="35">
        <f>SUM(E219:E224)</f>
        <v>25.5</v>
      </c>
    </row>
    <row r="225" spans="1:10" x14ac:dyDescent="0.25">
      <c r="A225" s="28">
        <f t="shared" si="19"/>
        <v>45444</v>
      </c>
      <c r="B225" s="29">
        <f t="shared" si="18"/>
        <v>45444</v>
      </c>
      <c r="C225" s="30">
        <f t="shared" si="20"/>
        <v>45444</v>
      </c>
      <c r="D225" s="36">
        <f t="shared" si="16"/>
        <v>22</v>
      </c>
      <c r="E225" s="32"/>
      <c r="F225" s="33"/>
      <c r="G225" s="43"/>
      <c r="H225" s="43"/>
      <c r="I225" s="44"/>
      <c r="J225" s="35"/>
    </row>
    <row r="226" spans="1:10" x14ac:dyDescent="0.25">
      <c r="A226" s="28">
        <f t="shared" si="19"/>
        <v>45445</v>
      </c>
      <c r="B226" s="29">
        <f t="shared" si="18"/>
        <v>45445</v>
      </c>
      <c r="C226" s="30">
        <f t="shared" si="20"/>
        <v>45445</v>
      </c>
      <c r="D226" s="36">
        <f t="shared" si="16"/>
        <v>23</v>
      </c>
      <c r="E226" s="32"/>
      <c r="F226" s="33"/>
      <c r="G226" s="43"/>
      <c r="H226" s="43"/>
      <c r="I226" s="44"/>
      <c r="J226" s="35"/>
    </row>
    <row r="227" spans="1:10" x14ac:dyDescent="0.25">
      <c r="A227" s="28">
        <f t="shared" si="19"/>
        <v>45446</v>
      </c>
      <c r="B227" s="29">
        <f t="shared" si="18"/>
        <v>45446</v>
      </c>
      <c r="C227" s="30">
        <f t="shared" si="20"/>
        <v>45446</v>
      </c>
      <c r="D227" s="36">
        <f t="shared" si="16"/>
        <v>23</v>
      </c>
      <c r="E227" s="37">
        <v>8.5</v>
      </c>
      <c r="F227" s="38" t="s">
        <v>34</v>
      </c>
      <c r="G227" s="39" t="s">
        <v>35</v>
      </c>
      <c r="H227" s="39" t="s">
        <v>37</v>
      </c>
      <c r="I227" s="44"/>
      <c r="J227" s="35"/>
    </row>
    <row r="228" spans="1:10" x14ac:dyDescent="0.25">
      <c r="A228" s="28">
        <f t="shared" si="19"/>
        <v>45447</v>
      </c>
      <c r="B228" s="29">
        <f>+$B$227+1</f>
        <v>45447</v>
      </c>
      <c r="C228" s="30">
        <f t="shared" si="20"/>
        <v>45447</v>
      </c>
      <c r="D228" s="36">
        <f t="shared" si="16"/>
        <v>23</v>
      </c>
      <c r="E228" s="40">
        <v>0</v>
      </c>
      <c r="F228" s="41" t="s">
        <v>15</v>
      </c>
      <c r="G228" s="42" t="s">
        <v>16</v>
      </c>
      <c r="H228" s="42" t="s">
        <v>38</v>
      </c>
      <c r="I228" s="44"/>
      <c r="J228" s="35"/>
    </row>
    <row r="229" spans="1:10" x14ac:dyDescent="0.25">
      <c r="A229" s="28">
        <f t="shared" si="19"/>
        <v>45447</v>
      </c>
      <c r="B229" s="29">
        <f>+$B$227+1</f>
        <v>45447</v>
      </c>
      <c r="C229" s="30">
        <f t="shared" si="20"/>
        <v>45447</v>
      </c>
      <c r="D229" s="36">
        <f t="shared" si="16"/>
        <v>23</v>
      </c>
      <c r="E229" s="40">
        <v>8.5</v>
      </c>
      <c r="F229" s="41" t="s">
        <v>34</v>
      </c>
      <c r="G229" s="42" t="s">
        <v>35</v>
      </c>
      <c r="H229" s="42" t="s">
        <v>37</v>
      </c>
      <c r="I229" s="44"/>
      <c r="J229" s="35"/>
    </row>
    <row r="230" spans="1:10" x14ac:dyDescent="0.25">
      <c r="A230" s="28">
        <f t="shared" si="19"/>
        <v>45448</v>
      </c>
      <c r="B230" s="29">
        <f>+B228+1</f>
        <v>45448</v>
      </c>
      <c r="C230" s="30">
        <f t="shared" si="20"/>
        <v>45448</v>
      </c>
      <c r="D230" s="36">
        <f t="shared" si="16"/>
        <v>23</v>
      </c>
      <c r="E230" s="37">
        <v>8.5</v>
      </c>
      <c r="F230" s="38" t="s">
        <v>34</v>
      </c>
      <c r="G230" s="39" t="s">
        <v>35</v>
      </c>
      <c r="H230" s="39" t="s">
        <v>37</v>
      </c>
      <c r="I230" s="44"/>
      <c r="J230" s="35"/>
    </row>
    <row r="231" spans="1:10" x14ac:dyDescent="0.25">
      <c r="A231" s="28">
        <f t="shared" si="19"/>
        <v>45449</v>
      </c>
      <c r="B231" s="29">
        <f>+$B$230+1</f>
        <v>45449</v>
      </c>
      <c r="C231" s="30">
        <f t="shared" si="20"/>
        <v>45449</v>
      </c>
      <c r="D231" s="36">
        <f t="shared" si="16"/>
        <v>23</v>
      </c>
      <c r="E231" s="40">
        <v>0</v>
      </c>
      <c r="F231" s="41" t="s">
        <v>15</v>
      </c>
      <c r="G231" s="42" t="s">
        <v>16</v>
      </c>
      <c r="H231" s="42" t="s">
        <v>38</v>
      </c>
      <c r="I231" s="44"/>
      <c r="J231" s="35"/>
    </row>
    <row r="232" spans="1:10" x14ac:dyDescent="0.25">
      <c r="A232" s="28">
        <f t="shared" si="19"/>
        <v>45449</v>
      </c>
      <c r="B232" s="29">
        <f>+$B$230+1</f>
        <v>45449</v>
      </c>
      <c r="C232" s="30">
        <f t="shared" si="20"/>
        <v>45449</v>
      </c>
      <c r="D232" s="36">
        <f t="shared" si="16"/>
        <v>23</v>
      </c>
      <c r="E232" s="40">
        <v>8.5</v>
      </c>
      <c r="F232" s="41" t="s">
        <v>34</v>
      </c>
      <c r="G232" s="42" t="s">
        <v>35</v>
      </c>
      <c r="H232" s="42" t="s">
        <v>37</v>
      </c>
      <c r="I232" s="44"/>
      <c r="J232" s="35"/>
    </row>
    <row r="233" spans="1:10" x14ac:dyDescent="0.25">
      <c r="A233" s="28">
        <f t="shared" si="19"/>
        <v>45450</v>
      </c>
      <c r="B233" s="29">
        <f>+B231+1</f>
        <v>45450</v>
      </c>
      <c r="C233" s="30">
        <f t="shared" si="20"/>
        <v>45450</v>
      </c>
      <c r="D233" s="36">
        <f t="shared" si="16"/>
        <v>23</v>
      </c>
      <c r="E233" s="37">
        <v>6</v>
      </c>
      <c r="F233" s="38" t="s">
        <v>34</v>
      </c>
      <c r="G233" s="39" t="s">
        <v>35</v>
      </c>
      <c r="H233" s="39" t="s">
        <v>37</v>
      </c>
      <c r="I233" s="44"/>
      <c r="J233" s="35">
        <f>SUM(E227:E233)</f>
        <v>40</v>
      </c>
    </row>
    <row r="234" spans="1:10" x14ac:dyDescent="0.25">
      <c r="A234" s="28">
        <f t="shared" si="19"/>
        <v>45451</v>
      </c>
      <c r="B234" s="29">
        <f t="shared" si="18"/>
        <v>45451</v>
      </c>
      <c r="C234" s="30">
        <f t="shared" si="20"/>
        <v>45451</v>
      </c>
      <c r="D234" s="36">
        <f t="shared" si="16"/>
        <v>23</v>
      </c>
      <c r="E234" s="32"/>
      <c r="F234" s="33"/>
      <c r="G234" s="43"/>
      <c r="H234" s="43"/>
      <c r="I234" s="44"/>
      <c r="J234" s="35"/>
    </row>
    <row r="235" spans="1:10" x14ac:dyDescent="0.25">
      <c r="A235" s="28">
        <f t="shared" si="19"/>
        <v>45452</v>
      </c>
      <c r="B235" s="29">
        <f t="shared" si="18"/>
        <v>45452</v>
      </c>
      <c r="C235" s="30">
        <f t="shared" si="20"/>
        <v>45452</v>
      </c>
      <c r="D235" s="36">
        <f t="shared" si="16"/>
        <v>24</v>
      </c>
      <c r="E235" s="32"/>
      <c r="F235" s="33"/>
      <c r="G235" s="43"/>
      <c r="H235" s="45"/>
      <c r="I235" s="44"/>
      <c r="J235" s="35"/>
    </row>
    <row r="236" spans="1:10" x14ac:dyDescent="0.25">
      <c r="A236" s="28">
        <f t="shared" si="19"/>
        <v>45453</v>
      </c>
      <c r="B236" s="29">
        <f t="shared" si="18"/>
        <v>45453</v>
      </c>
      <c r="C236" s="30">
        <f t="shared" si="20"/>
        <v>45453</v>
      </c>
      <c r="D236" s="36">
        <f t="shared" ref="D236:D318" si="21">WEEKNUM(A236)</f>
        <v>24</v>
      </c>
      <c r="E236" s="37">
        <v>8.5</v>
      </c>
      <c r="F236" s="38" t="s">
        <v>6</v>
      </c>
      <c r="G236" s="39" t="s">
        <v>26</v>
      </c>
      <c r="H236" s="39" t="s">
        <v>40</v>
      </c>
      <c r="I236" s="44"/>
      <c r="J236" s="35"/>
    </row>
    <row r="237" spans="1:10" x14ac:dyDescent="0.25">
      <c r="A237" s="28">
        <f t="shared" si="19"/>
        <v>45454</v>
      </c>
      <c r="B237" s="29">
        <f>+$B$236+1</f>
        <v>45454</v>
      </c>
      <c r="C237" s="30">
        <f t="shared" si="20"/>
        <v>45454</v>
      </c>
      <c r="D237" s="36">
        <f t="shared" si="21"/>
        <v>24</v>
      </c>
      <c r="E237" s="47">
        <v>0</v>
      </c>
      <c r="F237" s="48" t="s">
        <v>15</v>
      </c>
      <c r="G237" s="49" t="s">
        <v>16</v>
      </c>
      <c r="H237" s="49" t="s">
        <v>22</v>
      </c>
      <c r="I237" s="44"/>
      <c r="J237" s="35"/>
    </row>
    <row r="238" spans="1:10" x14ac:dyDescent="0.25">
      <c r="A238" s="28">
        <f t="shared" si="19"/>
        <v>45454</v>
      </c>
      <c r="B238" s="29">
        <f>+$B$236+1</f>
        <v>45454</v>
      </c>
      <c r="C238" s="30">
        <f t="shared" si="20"/>
        <v>45454</v>
      </c>
      <c r="D238" s="36">
        <f t="shared" si="21"/>
        <v>24</v>
      </c>
      <c r="E238" s="40">
        <v>8.5</v>
      </c>
      <c r="F238" s="41" t="s">
        <v>6</v>
      </c>
      <c r="G238" s="42" t="s">
        <v>26</v>
      </c>
      <c r="H238" s="42" t="s">
        <v>40</v>
      </c>
      <c r="I238" s="44"/>
      <c r="J238" s="35"/>
    </row>
    <row r="239" spans="1:10" x14ac:dyDescent="0.25">
      <c r="A239" s="28">
        <f t="shared" si="19"/>
        <v>45455</v>
      </c>
      <c r="B239" s="29">
        <f>+B237+1</f>
        <v>45455</v>
      </c>
      <c r="C239" s="30">
        <f t="shared" si="20"/>
        <v>45455</v>
      </c>
      <c r="D239" s="36">
        <f t="shared" si="21"/>
        <v>24</v>
      </c>
      <c r="E239" s="37">
        <v>8.5</v>
      </c>
      <c r="F239" s="38" t="s">
        <v>6</v>
      </c>
      <c r="G239" s="39" t="s">
        <v>26</v>
      </c>
      <c r="H239" s="39" t="s">
        <v>40</v>
      </c>
      <c r="I239" s="44"/>
      <c r="J239" s="35"/>
    </row>
    <row r="240" spans="1:10" x14ac:dyDescent="0.25">
      <c r="A240" s="28">
        <f t="shared" si="19"/>
        <v>45456</v>
      </c>
      <c r="B240" s="29">
        <f>+$B$239+1</f>
        <v>45456</v>
      </c>
      <c r="C240" s="30">
        <f t="shared" si="20"/>
        <v>45456</v>
      </c>
      <c r="D240" s="36">
        <f t="shared" si="21"/>
        <v>24</v>
      </c>
      <c r="E240" s="40">
        <v>1.5</v>
      </c>
      <c r="F240" s="41" t="s">
        <v>15</v>
      </c>
      <c r="G240" s="42" t="s">
        <v>16</v>
      </c>
      <c r="H240" s="42" t="s">
        <v>17</v>
      </c>
      <c r="I240" s="44"/>
      <c r="J240" s="35"/>
    </row>
    <row r="241" spans="1:10" x14ac:dyDescent="0.25">
      <c r="A241" s="28">
        <f t="shared" si="19"/>
        <v>45456</v>
      </c>
      <c r="B241" s="29">
        <f>+$B$239+1</f>
        <v>45456</v>
      </c>
      <c r="C241" s="30">
        <f t="shared" si="20"/>
        <v>45456</v>
      </c>
      <c r="D241" s="36">
        <f t="shared" si="21"/>
        <v>24</v>
      </c>
      <c r="E241" s="40">
        <v>7</v>
      </c>
      <c r="F241" s="41" t="s">
        <v>6</v>
      </c>
      <c r="G241" s="42" t="s">
        <v>26</v>
      </c>
      <c r="H241" s="42" t="s">
        <v>40</v>
      </c>
      <c r="I241" s="44"/>
      <c r="J241" s="35"/>
    </row>
    <row r="242" spans="1:10" ht="18" customHeight="1" x14ac:dyDescent="0.25">
      <c r="A242" s="28">
        <f t="shared" si="19"/>
        <v>45457</v>
      </c>
      <c r="B242" s="29">
        <f>+$B$240+1</f>
        <v>45457</v>
      </c>
      <c r="C242" s="30">
        <f t="shared" si="20"/>
        <v>45457</v>
      </c>
      <c r="D242" s="36">
        <f t="shared" si="21"/>
        <v>24</v>
      </c>
      <c r="E242" s="37">
        <v>6</v>
      </c>
      <c r="F242" s="38" t="s">
        <v>6</v>
      </c>
      <c r="G242" s="39" t="s">
        <v>26</v>
      </c>
      <c r="H242" s="39" t="s">
        <v>40</v>
      </c>
      <c r="I242" s="44"/>
      <c r="J242" s="35"/>
    </row>
    <row r="243" spans="1:10" ht="18" customHeight="1" x14ac:dyDescent="0.25">
      <c r="A243" s="28">
        <f t="shared" si="19"/>
        <v>45457</v>
      </c>
      <c r="B243" s="29">
        <f>+$B$240+1</f>
        <v>45457</v>
      </c>
      <c r="C243" s="30">
        <f t="shared" si="20"/>
        <v>45457</v>
      </c>
      <c r="D243" s="36">
        <f t="shared" si="21"/>
        <v>24</v>
      </c>
      <c r="E243" s="37">
        <v>0</v>
      </c>
      <c r="F243" s="38"/>
      <c r="G243" s="39"/>
      <c r="H243" s="39"/>
      <c r="I243" s="44"/>
      <c r="J243" s="35">
        <f>SUM(E236:E243)</f>
        <v>40</v>
      </c>
    </row>
    <row r="244" spans="1:10" x14ac:dyDescent="0.25">
      <c r="A244" s="28">
        <f t="shared" si="19"/>
        <v>45458</v>
      </c>
      <c r="B244" s="29">
        <f>+B242+1</f>
        <v>45458</v>
      </c>
      <c r="C244" s="30">
        <f t="shared" si="20"/>
        <v>45458</v>
      </c>
      <c r="D244" s="36">
        <f t="shared" si="21"/>
        <v>24</v>
      </c>
      <c r="E244" s="32"/>
      <c r="F244" s="33"/>
      <c r="G244" s="45"/>
      <c r="H244" s="43"/>
      <c r="I244" s="44"/>
      <c r="J244" s="35"/>
    </row>
    <row r="245" spans="1:10" x14ac:dyDescent="0.25">
      <c r="A245" s="28">
        <f t="shared" si="19"/>
        <v>45459</v>
      </c>
      <c r="B245" s="29">
        <f t="shared" si="18"/>
        <v>45459</v>
      </c>
      <c r="C245" s="30">
        <f t="shared" si="20"/>
        <v>45459</v>
      </c>
      <c r="D245" s="36">
        <f t="shared" si="21"/>
        <v>25</v>
      </c>
      <c r="E245" s="32"/>
      <c r="F245" s="33"/>
      <c r="G245" s="45"/>
      <c r="H245" s="43"/>
      <c r="I245" s="44"/>
      <c r="J245" s="35"/>
    </row>
    <row r="246" spans="1:10" x14ac:dyDescent="0.25">
      <c r="A246" s="28">
        <f t="shared" si="19"/>
        <v>45460</v>
      </c>
      <c r="B246" s="29">
        <f>+$B$245+1</f>
        <v>45460</v>
      </c>
      <c r="C246" s="30">
        <f t="shared" si="20"/>
        <v>45460</v>
      </c>
      <c r="D246" s="36">
        <f t="shared" si="21"/>
        <v>25</v>
      </c>
      <c r="E246" s="37">
        <v>3</v>
      </c>
      <c r="F246" s="38" t="s">
        <v>23</v>
      </c>
      <c r="G246" s="39" t="s">
        <v>24</v>
      </c>
      <c r="H246" s="39" t="s">
        <v>29</v>
      </c>
      <c r="I246" s="44"/>
      <c r="J246" s="35"/>
    </row>
    <row r="247" spans="1:10" x14ac:dyDescent="0.25">
      <c r="A247" s="28">
        <f t="shared" si="19"/>
        <v>45460</v>
      </c>
      <c r="B247" s="29">
        <f>+$B$245+1</f>
        <v>45460</v>
      </c>
      <c r="C247" s="30">
        <f t="shared" si="20"/>
        <v>45460</v>
      </c>
      <c r="D247" s="36">
        <f t="shared" si="21"/>
        <v>25</v>
      </c>
      <c r="E247" s="37">
        <v>4</v>
      </c>
      <c r="F247" s="38" t="s">
        <v>9</v>
      </c>
      <c r="G247" s="39" t="s">
        <v>10</v>
      </c>
      <c r="H247" s="39" t="s">
        <v>18</v>
      </c>
      <c r="I247" s="44"/>
      <c r="J247" s="35"/>
    </row>
    <row r="248" spans="1:10" x14ac:dyDescent="0.25">
      <c r="A248" s="28">
        <f t="shared" si="19"/>
        <v>45461</v>
      </c>
      <c r="B248" s="29">
        <f>+$B$246+1</f>
        <v>45461</v>
      </c>
      <c r="C248" s="30">
        <f t="shared" si="20"/>
        <v>45461</v>
      </c>
      <c r="D248" s="36">
        <f t="shared" si="21"/>
        <v>25</v>
      </c>
      <c r="E248" s="40">
        <v>1.5</v>
      </c>
      <c r="F248" s="41" t="s">
        <v>15</v>
      </c>
      <c r="G248" s="42" t="s">
        <v>16</v>
      </c>
      <c r="H248" s="42" t="s">
        <v>17</v>
      </c>
      <c r="I248" s="44"/>
      <c r="J248" s="35"/>
    </row>
    <row r="249" spans="1:10" x14ac:dyDescent="0.25">
      <c r="A249" s="28">
        <f t="shared" si="19"/>
        <v>45461</v>
      </c>
      <c r="B249" s="29">
        <f>+$B$246+1</f>
        <v>45461</v>
      </c>
      <c r="C249" s="30">
        <f t="shared" si="20"/>
        <v>45461</v>
      </c>
      <c r="D249" s="36">
        <f t="shared" si="21"/>
        <v>25</v>
      </c>
      <c r="E249" s="40">
        <v>2.5</v>
      </c>
      <c r="F249" s="41" t="s">
        <v>9</v>
      </c>
      <c r="G249" s="42" t="s">
        <v>10</v>
      </c>
      <c r="H249" s="42" t="s">
        <v>18</v>
      </c>
      <c r="I249" s="44"/>
      <c r="J249" s="35"/>
    </row>
    <row r="250" spans="1:10" x14ac:dyDescent="0.25">
      <c r="A250" s="28">
        <f t="shared" si="19"/>
        <v>45461</v>
      </c>
      <c r="B250" s="29">
        <f>+$B$246+1</f>
        <v>45461</v>
      </c>
      <c r="C250" s="30">
        <f t="shared" si="20"/>
        <v>45461</v>
      </c>
      <c r="D250" s="36">
        <f t="shared" si="21"/>
        <v>25</v>
      </c>
      <c r="E250" s="40">
        <v>3</v>
      </c>
      <c r="F250" s="41" t="s">
        <v>23</v>
      </c>
      <c r="G250" s="42" t="s">
        <v>24</v>
      </c>
      <c r="H250" s="42" t="s">
        <v>29</v>
      </c>
      <c r="I250" s="44"/>
      <c r="J250" s="35"/>
    </row>
    <row r="251" spans="1:10" x14ac:dyDescent="0.25">
      <c r="A251" s="28">
        <f t="shared" si="19"/>
        <v>45462</v>
      </c>
      <c r="B251" s="29">
        <f>+$B$248+1</f>
        <v>45462</v>
      </c>
      <c r="C251" s="30">
        <f t="shared" si="20"/>
        <v>45462</v>
      </c>
      <c r="D251" s="36">
        <f t="shared" si="21"/>
        <v>25</v>
      </c>
      <c r="E251" s="37">
        <v>6</v>
      </c>
      <c r="F251" s="38" t="s">
        <v>23</v>
      </c>
      <c r="G251" s="39" t="s">
        <v>24</v>
      </c>
      <c r="H251" s="39" t="s">
        <v>29</v>
      </c>
      <c r="I251" s="44"/>
      <c r="J251" s="35"/>
    </row>
    <row r="252" spans="1:10" x14ac:dyDescent="0.25">
      <c r="A252" s="28">
        <f t="shared" si="19"/>
        <v>45462</v>
      </c>
      <c r="B252" s="29">
        <f>+$B$248+1</f>
        <v>45462</v>
      </c>
      <c r="C252" s="30">
        <f t="shared" si="20"/>
        <v>45462</v>
      </c>
      <c r="D252" s="36">
        <f t="shared" si="21"/>
        <v>25</v>
      </c>
      <c r="E252" s="37">
        <v>1</v>
      </c>
      <c r="F252" s="38" t="s">
        <v>15</v>
      </c>
      <c r="G252" s="39" t="s">
        <v>19</v>
      </c>
      <c r="H252" s="39" t="s">
        <v>20</v>
      </c>
      <c r="I252" s="44"/>
      <c r="J252" s="35"/>
    </row>
    <row r="253" spans="1:10" x14ac:dyDescent="0.25">
      <c r="A253" s="28">
        <f t="shared" si="19"/>
        <v>45463</v>
      </c>
      <c r="B253" s="29">
        <f>+$B$251+1</f>
        <v>45463</v>
      </c>
      <c r="C253" s="30">
        <f t="shared" si="20"/>
        <v>45463</v>
      </c>
      <c r="D253" s="36">
        <f t="shared" si="21"/>
        <v>25</v>
      </c>
      <c r="E253" s="47">
        <v>0</v>
      </c>
      <c r="F253" s="48" t="s">
        <v>15</v>
      </c>
      <c r="G253" s="49" t="s">
        <v>16</v>
      </c>
      <c r="H253" s="49" t="s">
        <v>22</v>
      </c>
      <c r="I253" s="44"/>
      <c r="J253" s="35"/>
    </row>
    <row r="254" spans="1:10" x14ac:dyDescent="0.25">
      <c r="A254" s="28">
        <f t="shared" si="19"/>
        <v>45463</v>
      </c>
      <c r="B254" s="29">
        <f>+$B$251+1</f>
        <v>45463</v>
      </c>
      <c r="C254" s="30">
        <f t="shared" si="20"/>
        <v>45463</v>
      </c>
      <c r="D254" s="36">
        <f t="shared" si="21"/>
        <v>25</v>
      </c>
      <c r="E254" s="40">
        <v>7</v>
      </c>
      <c r="F254" s="41" t="s">
        <v>23</v>
      </c>
      <c r="G254" s="42" t="s">
        <v>24</v>
      </c>
      <c r="H254" s="42" t="s">
        <v>29</v>
      </c>
      <c r="I254" s="44"/>
      <c r="J254" s="35"/>
    </row>
    <row r="255" spans="1:10" x14ac:dyDescent="0.25">
      <c r="A255" s="28">
        <f t="shared" si="19"/>
        <v>45464</v>
      </c>
      <c r="B255" s="29">
        <f>+B253+1</f>
        <v>45464</v>
      </c>
      <c r="C255" s="30">
        <f t="shared" si="20"/>
        <v>45464</v>
      </c>
      <c r="D255" s="36">
        <f t="shared" si="21"/>
        <v>25</v>
      </c>
      <c r="E255" s="37">
        <v>6</v>
      </c>
      <c r="F255" s="38" t="s">
        <v>23</v>
      </c>
      <c r="G255" s="39" t="s">
        <v>24</v>
      </c>
      <c r="H255" s="39" t="s">
        <v>29</v>
      </c>
      <c r="I255" s="44"/>
      <c r="J255" s="35">
        <f>SUM(E246:E255)</f>
        <v>34</v>
      </c>
    </row>
    <row r="256" spans="1:10" x14ac:dyDescent="0.25">
      <c r="A256" s="28">
        <f t="shared" si="19"/>
        <v>45465</v>
      </c>
      <c r="B256" s="29">
        <f t="shared" si="18"/>
        <v>45465</v>
      </c>
      <c r="C256" s="30">
        <f t="shared" si="20"/>
        <v>45465</v>
      </c>
      <c r="D256" s="36">
        <f t="shared" si="21"/>
        <v>25</v>
      </c>
      <c r="E256" s="32"/>
      <c r="F256" s="33"/>
      <c r="G256" s="43"/>
      <c r="H256" s="45"/>
      <c r="I256" s="44"/>
      <c r="J256" s="35"/>
    </row>
    <row r="257" spans="1:10" x14ac:dyDescent="0.25">
      <c r="A257" s="28">
        <f t="shared" si="19"/>
        <v>45466</v>
      </c>
      <c r="B257" s="29">
        <f t="shared" si="18"/>
        <v>45466</v>
      </c>
      <c r="C257" s="30">
        <f t="shared" si="20"/>
        <v>45466</v>
      </c>
      <c r="D257" s="36">
        <f t="shared" si="21"/>
        <v>26</v>
      </c>
      <c r="E257" s="32"/>
      <c r="F257" s="33"/>
      <c r="G257" s="43"/>
      <c r="H257" s="45"/>
      <c r="I257" s="44"/>
      <c r="J257" s="35"/>
    </row>
    <row r="258" spans="1:10" x14ac:dyDescent="0.25">
      <c r="A258" s="28">
        <f t="shared" si="19"/>
        <v>45467</v>
      </c>
      <c r="B258" s="29">
        <f t="shared" si="18"/>
        <v>45467</v>
      </c>
      <c r="C258" s="30">
        <f t="shared" si="20"/>
        <v>45467</v>
      </c>
      <c r="D258" s="36">
        <f t="shared" si="21"/>
        <v>26</v>
      </c>
      <c r="E258" s="37">
        <v>7</v>
      </c>
      <c r="F258" s="38" t="s">
        <v>9</v>
      </c>
      <c r="G258" s="39" t="s">
        <v>10</v>
      </c>
      <c r="H258" s="39" t="s">
        <v>18</v>
      </c>
      <c r="I258" s="44"/>
      <c r="J258" s="35"/>
    </row>
    <row r="259" spans="1:10" x14ac:dyDescent="0.25">
      <c r="A259" s="28">
        <f t="shared" si="19"/>
        <v>45468</v>
      </c>
      <c r="B259" s="29">
        <f>+$B$258+1</f>
        <v>45468</v>
      </c>
      <c r="C259" s="30">
        <f t="shared" si="20"/>
        <v>45468</v>
      </c>
      <c r="D259" s="36">
        <f t="shared" si="21"/>
        <v>26</v>
      </c>
      <c r="E259" s="40">
        <v>5.5</v>
      </c>
      <c r="F259" s="41" t="s">
        <v>9</v>
      </c>
      <c r="G259" s="42" t="s">
        <v>10</v>
      </c>
      <c r="H259" s="42" t="s">
        <v>18</v>
      </c>
      <c r="I259" s="44"/>
      <c r="J259" s="35"/>
    </row>
    <row r="260" spans="1:10" x14ac:dyDescent="0.25">
      <c r="A260" s="28">
        <f t="shared" si="19"/>
        <v>45468</v>
      </c>
      <c r="B260" s="29">
        <f>+$B$258+1</f>
        <v>45468</v>
      </c>
      <c r="C260" s="30">
        <f t="shared" si="20"/>
        <v>45468</v>
      </c>
      <c r="D260" s="36">
        <f t="shared" si="21"/>
        <v>26</v>
      </c>
      <c r="E260" s="40">
        <v>1.5</v>
      </c>
      <c r="F260" s="41" t="s">
        <v>34</v>
      </c>
      <c r="G260" s="42" t="s">
        <v>35</v>
      </c>
      <c r="H260" s="42" t="s">
        <v>41</v>
      </c>
      <c r="I260" s="44"/>
      <c r="J260" s="35"/>
    </row>
    <row r="261" spans="1:10" x14ac:dyDescent="0.25">
      <c r="A261" s="28">
        <f t="shared" si="19"/>
        <v>45469</v>
      </c>
      <c r="B261" s="29">
        <f>+B259+1</f>
        <v>45469</v>
      </c>
      <c r="C261" s="30">
        <f t="shared" si="20"/>
        <v>45469</v>
      </c>
      <c r="D261" s="36">
        <f t="shared" si="21"/>
        <v>26</v>
      </c>
      <c r="E261" s="37">
        <v>7</v>
      </c>
      <c r="F261" s="38" t="s">
        <v>34</v>
      </c>
      <c r="G261" s="39" t="s">
        <v>35</v>
      </c>
      <c r="H261" s="39" t="s">
        <v>42</v>
      </c>
      <c r="I261" s="44"/>
      <c r="J261" s="35"/>
    </row>
    <row r="262" spans="1:10" x14ac:dyDescent="0.25">
      <c r="A262" s="28">
        <f t="shared" si="19"/>
        <v>45470</v>
      </c>
      <c r="B262" s="29">
        <f t="shared" ref="B262:B323" si="22">+B261+1</f>
        <v>45470</v>
      </c>
      <c r="C262" s="30">
        <f t="shared" si="20"/>
        <v>45470</v>
      </c>
      <c r="D262" s="36">
        <f t="shared" si="21"/>
        <v>26</v>
      </c>
      <c r="E262" s="40">
        <v>7</v>
      </c>
      <c r="F262" s="41" t="s">
        <v>34</v>
      </c>
      <c r="G262" s="42" t="s">
        <v>35</v>
      </c>
      <c r="H262" s="42" t="s">
        <v>42</v>
      </c>
      <c r="I262" s="44"/>
      <c r="J262" s="35"/>
    </row>
    <row r="263" spans="1:10" x14ac:dyDescent="0.25">
      <c r="A263" s="28">
        <f t="shared" si="19"/>
        <v>45471</v>
      </c>
      <c r="B263" s="29">
        <f t="shared" si="22"/>
        <v>45471</v>
      </c>
      <c r="C263" s="30">
        <f t="shared" si="20"/>
        <v>45471</v>
      </c>
      <c r="D263" s="36">
        <f t="shared" si="21"/>
        <v>26</v>
      </c>
      <c r="E263" s="37">
        <v>6</v>
      </c>
      <c r="F263" s="38" t="s">
        <v>9</v>
      </c>
      <c r="G263" s="39" t="s">
        <v>10</v>
      </c>
      <c r="H263" s="39" t="s">
        <v>18</v>
      </c>
      <c r="I263" s="44"/>
      <c r="J263" s="35">
        <f>SUM(E258:E263)</f>
        <v>34</v>
      </c>
    </row>
    <row r="264" spans="1:10" x14ac:dyDescent="0.25">
      <c r="A264" s="28">
        <f t="shared" si="19"/>
        <v>45472</v>
      </c>
      <c r="B264" s="29">
        <f t="shared" si="22"/>
        <v>45472</v>
      </c>
      <c r="C264" s="30">
        <f t="shared" si="20"/>
        <v>45472</v>
      </c>
      <c r="D264" s="36">
        <f t="shared" si="21"/>
        <v>26</v>
      </c>
      <c r="E264" s="32"/>
      <c r="F264" s="33"/>
      <c r="G264" s="34"/>
      <c r="H264" s="45"/>
      <c r="I264" s="44"/>
      <c r="J264" s="35"/>
    </row>
    <row r="265" spans="1:10" x14ac:dyDescent="0.25">
      <c r="A265" s="28">
        <f t="shared" si="19"/>
        <v>45473</v>
      </c>
      <c r="B265" s="29">
        <f t="shared" si="22"/>
        <v>45473</v>
      </c>
      <c r="C265" s="30">
        <f t="shared" si="20"/>
        <v>45473</v>
      </c>
      <c r="D265" s="36">
        <f t="shared" si="21"/>
        <v>27</v>
      </c>
      <c r="E265" s="32"/>
      <c r="F265" s="33"/>
      <c r="G265" s="34"/>
      <c r="H265" s="45"/>
      <c r="I265" s="44"/>
      <c r="J265" s="35"/>
    </row>
    <row r="266" spans="1:10" x14ac:dyDescent="0.25">
      <c r="A266" s="28">
        <f t="shared" si="19"/>
        <v>45474</v>
      </c>
      <c r="B266" s="29">
        <f t="shared" si="22"/>
        <v>45474</v>
      </c>
      <c r="C266" s="30">
        <f t="shared" si="20"/>
        <v>45474</v>
      </c>
      <c r="D266" s="36">
        <f t="shared" si="21"/>
        <v>27</v>
      </c>
      <c r="E266" s="37">
        <v>7</v>
      </c>
      <c r="F266" s="38" t="s">
        <v>9</v>
      </c>
      <c r="G266" s="39" t="s">
        <v>10</v>
      </c>
      <c r="H266" s="39" t="s">
        <v>18</v>
      </c>
      <c r="I266" s="44"/>
      <c r="J266" s="35"/>
    </row>
    <row r="267" spans="1:10" x14ac:dyDescent="0.25">
      <c r="A267" s="28">
        <f t="shared" si="19"/>
        <v>45475</v>
      </c>
      <c r="B267" s="29">
        <f t="shared" si="22"/>
        <v>45475</v>
      </c>
      <c r="C267" s="30">
        <f t="shared" si="20"/>
        <v>45475</v>
      </c>
      <c r="D267" s="36">
        <f t="shared" si="21"/>
        <v>27</v>
      </c>
      <c r="E267" s="40">
        <v>7</v>
      </c>
      <c r="F267" s="41" t="s">
        <v>9</v>
      </c>
      <c r="G267" s="42" t="s">
        <v>10</v>
      </c>
      <c r="H267" s="42" t="s">
        <v>18</v>
      </c>
      <c r="I267" s="44"/>
      <c r="J267" s="35"/>
    </row>
    <row r="268" spans="1:10" x14ac:dyDescent="0.25">
      <c r="A268" s="28">
        <f t="shared" si="19"/>
        <v>45476</v>
      </c>
      <c r="B268" s="29">
        <f t="shared" si="22"/>
        <v>45476</v>
      </c>
      <c r="C268" s="30">
        <f t="shared" si="20"/>
        <v>45476</v>
      </c>
      <c r="D268" s="36">
        <f t="shared" si="21"/>
        <v>27</v>
      </c>
      <c r="E268" s="37">
        <v>7</v>
      </c>
      <c r="F268" s="38" t="s">
        <v>9</v>
      </c>
      <c r="G268" s="39" t="s">
        <v>10</v>
      </c>
      <c r="H268" s="39" t="s">
        <v>18</v>
      </c>
      <c r="I268" s="44"/>
      <c r="J268" s="35"/>
    </row>
    <row r="269" spans="1:10" x14ac:dyDescent="0.25">
      <c r="A269" s="28">
        <f t="shared" si="19"/>
        <v>45477</v>
      </c>
      <c r="B269" s="29">
        <f t="shared" si="22"/>
        <v>45477</v>
      </c>
      <c r="C269" s="30">
        <f t="shared" si="20"/>
        <v>45477</v>
      </c>
      <c r="D269" s="36">
        <f t="shared" si="21"/>
        <v>27</v>
      </c>
      <c r="E269" s="40">
        <v>7</v>
      </c>
      <c r="F269" s="41" t="s">
        <v>9</v>
      </c>
      <c r="G269" s="42" t="s">
        <v>10</v>
      </c>
      <c r="H269" s="42" t="s">
        <v>18</v>
      </c>
      <c r="I269" s="44"/>
      <c r="J269" s="35"/>
    </row>
    <row r="270" spans="1:10" x14ac:dyDescent="0.25">
      <c r="A270" s="28">
        <f t="shared" si="19"/>
        <v>45478</v>
      </c>
      <c r="B270" s="29">
        <f t="shared" si="22"/>
        <v>45478</v>
      </c>
      <c r="C270" s="30">
        <f t="shared" si="20"/>
        <v>45478</v>
      </c>
      <c r="D270" s="36">
        <f t="shared" si="21"/>
        <v>27</v>
      </c>
      <c r="E270" s="37">
        <v>6</v>
      </c>
      <c r="F270" s="38" t="s">
        <v>23</v>
      </c>
      <c r="G270" s="39" t="s">
        <v>24</v>
      </c>
      <c r="H270" s="39" t="s">
        <v>29</v>
      </c>
      <c r="I270" s="44"/>
      <c r="J270" s="35">
        <f>SUM(E266:E270)</f>
        <v>34</v>
      </c>
    </row>
    <row r="271" spans="1:10" x14ac:dyDescent="0.25">
      <c r="A271" s="28">
        <f t="shared" si="19"/>
        <v>45479</v>
      </c>
      <c r="B271" s="29">
        <f t="shared" si="22"/>
        <v>45479</v>
      </c>
      <c r="C271" s="30">
        <f t="shared" si="20"/>
        <v>45479</v>
      </c>
      <c r="D271" s="36">
        <f t="shared" si="21"/>
        <v>27</v>
      </c>
      <c r="E271" s="59"/>
      <c r="F271" s="60"/>
      <c r="G271" s="61"/>
      <c r="H271" s="60"/>
      <c r="I271" s="44"/>
      <c r="J271" s="35"/>
    </row>
    <row r="272" spans="1:10" x14ac:dyDescent="0.25">
      <c r="A272" s="28">
        <f t="shared" si="19"/>
        <v>45480</v>
      </c>
      <c r="B272" s="29">
        <f t="shared" si="22"/>
        <v>45480</v>
      </c>
      <c r="C272" s="30">
        <f t="shared" si="20"/>
        <v>45480</v>
      </c>
      <c r="D272" s="36">
        <f t="shared" si="21"/>
        <v>28</v>
      </c>
      <c r="E272" s="59"/>
      <c r="F272" s="60"/>
      <c r="G272" s="61"/>
      <c r="H272" s="60"/>
      <c r="I272" s="44"/>
      <c r="J272" s="35"/>
    </row>
    <row r="273" spans="1:10" x14ac:dyDescent="0.25">
      <c r="A273" s="28">
        <f t="shared" si="19"/>
        <v>45481</v>
      </c>
      <c r="B273" s="29">
        <f t="shared" si="22"/>
        <v>45481</v>
      </c>
      <c r="C273" s="30">
        <f t="shared" si="20"/>
        <v>45481</v>
      </c>
      <c r="D273" s="36">
        <f t="shared" si="21"/>
        <v>28</v>
      </c>
      <c r="E273" s="37">
        <v>7</v>
      </c>
      <c r="F273" s="38" t="s">
        <v>23</v>
      </c>
      <c r="G273" s="39" t="s">
        <v>24</v>
      </c>
      <c r="H273" s="39" t="s">
        <v>29</v>
      </c>
      <c r="I273" s="44"/>
      <c r="J273" s="35"/>
    </row>
    <row r="274" spans="1:10" x14ac:dyDescent="0.25">
      <c r="A274" s="28">
        <f t="shared" si="19"/>
        <v>45482</v>
      </c>
      <c r="B274" s="29">
        <f t="shared" si="22"/>
        <v>45482</v>
      </c>
      <c r="C274" s="30">
        <f t="shared" si="20"/>
        <v>45482</v>
      </c>
      <c r="D274" s="36">
        <f t="shared" si="21"/>
        <v>28</v>
      </c>
      <c r="E274" s="40">
        <v>7</v>
      </c>
      <c r="F274" s="41" t="s">
        <v>23</v>
      </c>
      <c r="G274" s="42" t="s">
        <v>24</v>
      </c>
      <c r="H274" s="42" t="s">
        <v>43</v>
      </c>
      <c r="I274" s="44"/>
      <c r="J274" s="35"/>
    </row>
    <row r="275" spans="1:10" x14ac:dyDescent="0.25">
      <c r="A275" s="28">
        <f t="shared" si="19"/>
        <v>45483</v>
      </c>
      <c r="B275" s="29">
        <f t="shared" si="22"/>
        <v>45483</v>
      </c>
      <c r="C275" s="30">
        <f t="shared" si="20"/>
        <v>45483</v>
      </c>
      <c r="D275" s="36">
        <f t="shared" si="21"/>
        <v>28</v>
      </c>
      <c r="E275" s="37">
        <v>7</v>
      </c>
      <c r="F275" s="38" t="s">
        <v>23</v>
      </c>
      <c r="G275" s="39" t="s">
        <v>24</v>
      </c>
      <c r="H275" s="39" t="s">
        <v>43</v>
      </c>
      <c r="I275" s="44"/>
      <c r="J275" s="35"/>
    </row>
    <row r="276" spans="1:10" x14ac:dyDescent="0.25">
      <c r="A276" s="28">
        <f t="shared" si="19"/>
        <v>45484</v>
      </c>
      <c r="B276" s="29">
        <f t="shared" si="22"/>
        <v>45484</v>
      </c>
      <c r="C276" s="30">
        <f t="shared" si="20"/>
        <v>45484</v>
      </c>
      <c r="D276" s="36">
        <f t="shared" si="21"/>
        <v>28</v>
      </c>
      <c r="E276" s="40">
        <v>7</v>
      </c>
      <c r="F276" s="41" t="s">
        <v>23</v>
      </c>
      <c r="G276" s="42" t="s">
        <v>24</v>
      </c>
      <c r="H276" s="42" t="s">
        <v>43</v>
      </c>
      <c r="I276" s="44"/>
      <c r="J276" s="35"/>
    </row>
    <row r="277" spans="1:10" x14ac:dyDescent="0.25">
      <c r="A277" s="28">
        <f t="shared" si="19"/>
        <v>45485</v>
      </c>
      <c r="B277" s="29">
        <f t="shared" si="22"/>
        <v>45485</v>
      </c>
      <c r="C277" s="30">
        <f t="shared" si="20"/>
        <v>45485</v>
      </c>
      <c r="D277" s="36">
        <f t="shared" si="21"/>
        <v>28</v>
      </c>
      <c r="E277" s="37">
        <v>6</v>
      </c>
      <c r="F277" s="38" t="s">
        <v>9</v>
      </c>
      <c r="G277" s="39" t="s">
        <v>10</v>
      </c>
      <c r="H277" s="39" t="s">
        <v>18</v>
      </c>
      <c r="I277" s="44"/>
      <c r="J277" s="35">
        <f>SUM(E273:E277)</f>
        <v>34</v>
      </c>
    </row>
    <row r="278" spans="1:10" x14ac:dyDescent="0.25">
      <c r="A278" s="28">
        <f t="shared" si="19"/>
        <v>45486</v>
      </c>
      <c r="B278" s="29">
        <f t="shared" si="22"/>
        <v>45486</v>
      </c>
      <c r="C278" s="30">
        <f t="shared" si="20"/>
        <v>45486</v>
      </c>
      <c r="D278" s="36">
        <f t="shared" si="21"/>
        <v>28</v>
      </c>
      <c r="E278" s="37"/>
      <c r="F278" s="38"/>
      <c r="G278" s="39"/>
      <c r="H278" s="39"/>
      <c r="I278" s="44"/>
      <c r="J278" s="35"/>
    </row>
    <row r="279" spans="1:10" x14ac:dyDescent="0.25">
      <c r="A279" s="28">
        <f t="shared" si="19"/>
        <v>45487</v>
      </c>
      <c r="B279" s="29">
        <f t="shared" si="22"/>
        <v>45487</v>
      </c>
      <c r="C279" s="30">
        <f t="shared" si="20"/>
        <v>45487</v>
      </c>
      <c r="D279" s="36">
        <f t="shared" si="21"/>
        <v>29</v>
      </c>
      <c r="E279" s="40"/>
      <c r="F279" s="41"/>
      <c r="G279" s="42"/>
      <c r="H279" s="42"/>
      <c r="I279" s="44"/>
      <c r="J279" s="35"/>
    </row>
    <row r="280" spans="1:10" ht="15" customHeight="1" x14ac:dyDescent="0.25">
      <c r="A280" s="28">
        <f t="shared" si="19"/>
        <v>45488</v>
      </c>
      <c r="B280" s="29">
        <f t="shared" si="22"/>
        <v>45488</v>
      </c>
      <c r="C280" s="30">
        <f t="shared" si="20"/>
        <v>45488</v>
      </c>
      <c r="D280" s="36">
        <f t="shared" si="21"/>
        <v>29</v>
      </c>
      <c r="E280" s="58" t="s">
        <v>39</v>
      </c>
      <c r="F280" s="62"/>
      <c r="G280" s="63"/>
      <c r="H280" s="62"/>
      <c r="I280" s="44"/>
      <c r="J280" s="35"/>
    </row>
    <row r="281" spans="1:10" x14ac:dyDescent="0.25">
      <c r="A281" s="28">
        <f t="shared" si="19"/>
        <v>45489</v>
      </c>
      <c r="B281" s="29">
        <f t="shared" si="22"/>
        <v>45489</v>
      </c>
      <c r="C281" s="30">
        <f t="shared" si="20"/>
        <v>45489</v>
      </c>
      <c r="D281" s="36">
        <f t="shared" si="21"/>
        <v>29</v>
      </c>
      <c r="E281" s="58" t="s">
        <v>39</v>
      </c>
      <c r="F281" s="60"/>
      <c r="G281" s="39"/>
      <c r="H281" s="39"/>
      <c r="I281" s="44"/>
      <c r="J281" s="35"/>
    </row>
    <row r="282" spans="1:10" x14ac:dyDescent="0.25">
      <c r="A282" s="28">
        <f t="shared" si="19"/>
        <v>45490</v>
      </c>
      <c r="B282" s="29">
        <f t="shared" si="22"/>
        <v>45490</v>
      </c>
      <c r="C282" s="30">
        <f t="shared" si="20"/>
        <v>45490</v>
      </c>
      <c r="D282" s="36">
        <f t="shared" si="21"/>
        <v>29</v>
      </c>
      <c r="E282" s="58" t="s">
        <v>39</v>
      </c>
      <c r="F282" s="60"/>
      <c r="G282" s="39"/>
      <c r="H282" s="39"/>
      <c r="I282" s="44"/>
      <c r="J282" s="35"/>
    </row>
    <row r="283" spans="1:10" x14ac:dyDescent="0.25">
      <c r="A283" s="28">
        <f t="shared" si="19"/>
        <v>45491</v>
      </c>
      <c r="B283" s="29">
        <f t="shared" si="22"/>
        <v>45491</v>
      </c>
      <c r="C283" s="30">
        <f t="shared" si="20"/>
        <v>45491</v>
      </c>
      <c r="D283" s="36">
        <f t="shared" si="21"/>
        <v>29</v>
      </c>
      <c r="E283" s="58" t="s">
        <v>39</v>
      </c>
      <c r="F283" s="60"/>
      <c r="G283" s="64"/>
      <c r="H283" s="39"/>
      <c r="I283" s="44"/>
      <c r="J283" s="35"/>
    </row>
    <row r="284" spans="1:10" x14ac:dyDescent="0.25">
      <c r="A284" s="28">
        <f t="shared" si="19"/>
        <v>45492</v>
      </c>
      <c r="B284" s="29">
        <f t="shared" si="22"/>
        <v>45492</v>
      </c>
      <c r="C284" s="30">
        <f t="shared" si="20"/>
        <v>45492</v>
      </c>
      <c r="D284" s="36">
        <f t="shared" si="21"/>
        <v>29</v>
      </c>
      <c r="E284" s="58" t="s">
        <v>39</v>
      </c>
      <c r="F284" s="65"/>
      <c r="G284" s="42"/>
      <c r="H284" s="42"/>
      <c r="I284" s="44"/>
      <c r="J284" s="35"/>
    </row>
    <row r="285" spans="1:10" x14ac:dyDescent="0.25">
      <c r="A285" s="28">
        <f t="shared" si="19"/>
        <v>45493</v>
      </c>
      <c r="B285" s="29">
        <f t="shared" si="22"/>
        <v>45493</v>
      </c>
      <c r="C285" s="30">
        <f t="shared" si="20"/>
        <v>45493</v>
      </c>
      <c r="D285" s="36">
        <f t="shared" si="21"/>
        <v>29</v>
      </c>
      <c r="E285" s="40"/>
      <c r="F285" s="65"/>
      <c r="G285" s="42"/>
      <c r="H285" s="42"/>
      <c r="I285" s="44"/>
      <c r="J285" s="35"/>
    </row>
    <row r="286" spans="1:10" x14ac:dyDescent="0.25">
      <c r="A286" s="28">
        <f t="shared" si="19"/>
        <v>45494</v>
      </c>
      <c r="B286" s="29">
        <f t="shared" si="22"/>
        <v>45494</v>
      </c>
      <c r="C286" s="30">
        <f t="shared" si="20"/>
        <v>45494</v>
      </c>
      <c r="D286" s="36">
        <f t="shared" si="21"/>
        <v>30</v>
      </c>
      <c r="E286" s="40"/>
      <c r="F286" s="65"/>
      <c r="G286" s="42"/>
      <c r="H286" s="42"/>
      <c r="I286" s="44"/>
      <c r="J286" s="35"/>
    </row>
    <row r="287" spans="1:10" x14ac:dyDescent="0.25">
      <c r="A287" s="28">
        <f t="shared" si="19"/>
        <v>45495</v>
      </c>
      <c r="B287" s="29">
        <f t="shared" si="22"/>
        <v>45495</v>
      </c>
      <c r="C287" s="30">
        <f t="shared" si="20"/>
        <v>45495</v>
      </c>
      <c r="D287" s="36">
        <f t="shared" si="21"/>
        <v>30</v>
      </c>
      <c r="E287" s="58" t="s">
        <v>39</v>
      </c>
      <c r="F287" s="33"/>
      <c r="G287" s="34"/>
      <c r="H287" s="34"/>
      <c r="I287" s="44"/>
      <c r="J287" s="35"/>
    </row>
    <row r="288" spans="1:10" x14ac:dyDescent="0.25">
      <c r="A288" s="28">
        <f t="shared" si="19"/>
        <v>45496</v>
      </c>
      <c r="B288" s="29">
        <f t="shared" si="22"/>
        <v>45496</v>
      </c>
      <c r="C288" s="30">
        <f t="shared" si="20"/>
        <v>45496</v>
      </c>
      <c r="D288" s="36">
        <f t="shared" si="21"/>
        <v>30</v>
      </c>
      <c r="E288" s="58" t="s">
        <v>39</v>
      </c>
      <c r="F288" s="33"/>
      <c r="G288" s="34"/>
      <c r="H288" s="34"/>
      <c r="I288" s="44"/>
      <c r="J288" s="35"/>
    </row>
    <row r="289" spans="1:10" x14ac:dyDescent="0.25">
      <c r="A289" s="28">
        <f t="shared" si="19"/>
        <v>45497</v>
      </c>
      <c r="B289" s="29">
        <f t="shared" si="22"/>
        <v>45497</v>
      </c>
      <c r="C289" s="30">
        <f t="shared" si="20"/>
        <v>45497</v>
      </c>
      <c r="D289" s="36">
        <f t="shared" si="21"/>
        <v>30</v>
      </c>
      <c r="E289" s="58" t="s">
        <v>39</v>
      </c>
      <c r="F289" s="33"/>
      <c r="G289" s="34"/>
      <c r="H289" s="34"/>
      <c r="I289" s="44"/>
      <c r="J289" s="35"/>
    </row>
    <row r="290" spans="1:10" x14ac:dyDescent="0.25">
      <c r="A290" s="28">
        <f t="shared" si="19"/>
        <v>45498</v>
      </c>
      <c r="B290" s="29">
        <f t="shared" si="22"/>
        <v>45498</v>
      </c>
      <c r="C290" s="30">
        <f t="shared" si="20"/>
        <v>45498</v>
      </c>
      <c r="D290" s="36">
        <f t="shared" si="21"/>
        <v>30</v>
      </c>
      <c r="E290" s="54" t="s">
        <v>33</v>
      </c>
      <c r="F290" s="33"/>
      <c r="G290" s="34"/>
      <c r="H290" s="34"/>
      <c r="I290" s="44"/>
      <c r="J290" s="35"/>
    </row>
    <row r="291" spans="1:10" x14ac:dyDescent="0.25">
      <c r="A291" s="28">
        <f t="shared" si="19"/>
        <v>45499</v>
      </c>
      <c r="B291" s="29">
        <f t="shared" si="22"/>
        <v>45499</v>
      </c>
      <c r="C291" s="30">
        <f t="shared" si="20"/>
        <v>45499</v>
      </c>
      <c r="D291" s="36">
        <f t="shared" si="21"/>
        <v>30</v>
      </c>
      <c r="E291" s="58" t="s">
        <v>39</v>
      </c>
      <c r="F291" s="33"/>
      <c r="G291" s="34"/>
      <c r="H291" s="34"/>
      <c r="I291" s="44"/>
      <c r="J291" s="35"/>
    </row>
    <row r="292" spans="1:10" x14ac:dyDescent="0.25">
      <c r="A292" s="28">
        <f t="shared" si="19"/>
        <v>45500</v>
      </c>
      <c r="B292" s="29">
        <f t="shared" si="22"/>
        <v>45500</v>
      </c>
      <c r="C292" s="30">
        <f t="shared" si="20"/>
        <v>45500</v>
      </c>
      <c r="D292" s="36">
        <f t="shared" si="21"/>
        <v>30</v>
      </c>
      <c r="E292" s="58"/>
      <c r="F292" s="33"/>
      <c r="G292" s="34"/>
      <c r="H292" s="34"/>
      <c r="I292" s="44"/>
      <c r="J292" s="35"/>
    </row>
    <row r="293" spans="1:10" x14ac:dyDescent="0.25">
      <c r="A293" s="28">
        <f t="shared" si="19"/>
        <v>45501</v>
      </c>
      <c r="B293" s="29">
        <f t="shared" si="22"/>
        <v>45501</v>
      </c>
      <c r="C293" s="30">
        <f t="shared" si="20"/>
        <v>45501</v>
      </c>
      <c r="D293" s="36">
        <f t="shared" si="21"/>
        <v>31</v>
      </c>
      <c r="E293" s="58"/>
      <c r="F293" s="33"/>
      <c r="G293" s="34"/>
      <c r="H293" s="34"/>
      <c r="I293" s="44"/>
      <c r="J293" s="35"/>
    </row>
    <row r="294" spans="1:10" x14ac:dyDescent="0.25">
      <c r="A294" s="28">
        <f t="shared" si="19"/>
        <v>45502</v>
      </c>
      <c r="B294" s="29">
        <f t="shared" si="22"/>
        <v>45502</v>
      </c>
      <c r="C294" s="30">
        <f t="shared" si="20"/>
        <v>45502</v>
      </c>
      <c r="D294" s="36">
        <f t="shared" si="21"/>
        <v>31</v>
      </c>
      <c r="E294" s="37">
        <v>7</v>
      </c>
      <c r="F294" s="38" t="s">
        <v>23</v>
      </c>
      <c r="G294" s="39" t="s">
        <v>24</v>
      </c>
      <c r="H294" s="39" t="s">
        <v>29</v>
      </c>
      <c r="I294" s="44"/>
      <c r="J294" s="35"/>
    </row>
    <row r="295" spans="1:10" x14ac:dyDescent="0.25">
      <c r="A295" s="28">
        <f t="shared" si="19"/>
        <v>45503</v>
      </c>
      <c r="B295" s="29">
        <f t="shared" si="22"/>
        <v>45503</v>
      </c>
      <c r="C295" s="30">
        <f t="shared" si="20"/>
        <v>45503</v>
      </c>
      <c r="D295" s="36">
        <f t="shared" si="21"/>
        <v>31</v>
      </c>
      <c r="E295" s="40">
        <v>7</v>
      </c>
      <c r="F295" s="41" t="s">
        <v>23</v>
      </c>
      <c r="G295" s="42" t="s">
        <v>24</v>
      </c>
      <c r="H295" s="42" t="s">
        <v>29</v>
      </c>
      <c r="I295" s="44"/>
      <c r="J295" s="35"/>
    </row>
    <row r="296" spans="1:10" x14ac:dyDescent="0.25">
      <c r="A296" s="28">
        <f t="shared" si="19"/>
        <v>45504</v>
      </c>
      <c r="B296" s="29">
        <f t="shared" si="22"/>
        <v>45504</v>
      </c>
      <c r="C296" s="30">
        <f t="shared" si="20"/>
        <v>45504</v>
      </c>
      <c r="D296" s="36">
        <f t="shared" si="21"/>
        <v>31</v>
      </c>
      <c r="E296" s="37">
        <v>7</v>
      </c>
      <c r="F296" s="38" t="s">
        <v>23</v>
      </c>
      <c r="G296" s="39" t="s">
        <v>24</v>
      </c>
      <c r="H296" s="39" t="s">
        <v>29</v>
      </c>
      <c r="I296" s="44"/>
      <c r="J296" s="35"/>
    </row>
    <row r="297" spans="1:10" x14ac:dyDescent="0.25">
      <c r="A297" s="28">
        <f t="shared" si="19"/>
        <v>45505</v>
      </c>
      <c r="B297" s="29">
        <f>+$B$296+1</f>
        <v>45505</v>
      </c>
      <c r="C297" s="30">
        <f t="shared" si="20"/>
        <v>45505</v>
      </c>
      <c r="D297" s="36">
        <f t="shared" si="21"/>
        <v>31</v>
      </c>
      <c r="E297" s="40">
        <v>3</v>
      </c>
      <c r="F297" s="41" t="s">
        <v>23</v>
      </c>
      <c r="G297" s="42" t="s">
        <v>24</v>
      </c>
      <c r="H297" s="42" t="s">
        <v>29</v>
      </c>
      <c r="I297" s="44"/>
      <c r="J297" s="35"/>
    </row>
    <row r="298" spans="1:10" x14ac:dyDescent="0.25">
      <c r="A298" s="28">
        <f t="shared" si="19"/>
        <v>45505</v>
      </c>
      <c r="B298" s="29">
        <f>+$B$296+1</f>
        <v>45505</v>
      </c>
      <c r="C298" s="30">
        <f t="shared" si="20"/>
        <v>45505</v>
      </c>
      <c r="D298" s="36">
        <f t="shared" si="21"/>
        <v>31</v>
      </c>
      <c r="E298" s="40">
        <v>4</v>
      </c>
      <c r="F298" s="41" t="s">
        <v>9</v>
      </c>
      <c r="G298" s="42" t="s">
        <v>10</v>
      </c>
      <c r="H298" s="42" t="s">
        <v>18</v>
      </c>
      <c r="I298" s="44"/>
      <c r="J298" s="35"/>
    </row>
    <row r="299" spans="1:10" x14ac:dyDescent="0.25">
      <c r="A299" s="28">
        <f t="shared" si="19"/>
        <v>45506</v>
      </c>
      <c r="B299" s="29">
        <f>+B297+1</f>
        <v>45506</v>
      </c>
      <c r="C299" s="30">
        <f t="shared" si="20"/>
        <v>45506</v>
      </c>
      <c r="D299" s="36">
        <f t="shared" si="21"/>
        <v>31</v>
      </c>
      <c r="E299" s="37">
        <v>6</v>
      </c>
      <c r="F299" s="38" t="s">
        <v>23</v>
      </c>
      <c r="G299" s="39" t="s">
        <v>24</v>
      </c>
      <c r="H299" s="39" t="s">
        <v>29</v>
      </c>
      <c r="I299" s="44"/>
      <c r="J299" s="35">
        <f>SUM(E294:E299)</f>
        <v>34</v>
      </c>
    </row>
    <row r="300" spans="1:10" x14ac:dyDescent="0.25">
      <c r="A300" s="28">
        <f t="shared" si="19"/>
        <v>45507</v>
      </c>
      <c r="B300" s="29">
        <f t="shared" si="22"/>
        <v>45507</v>
      </c>
      <c r="C300" s="30">
        <f t="shared" si="20"/>
        <v>45507</v>
      </c>
      <c r="D300" s="36">
        <f t="shared" si="21"/>
        <v>31</v>
      </c>
      <c r="E300" s="37"/>
      <c r="F300" s="38"/>
      <c r="G300" s="39"/>
      <c r="H300" s="39"/>
      <c r="I300" s="44"/>
      <c r="J300" s="35"/>
    </row>
    <row r="301" spans="1:10" x14ac:dyDescent="0.25">
      <c r="A301" s="28">
        <f t="shared" ref="A301:A369" si="23">B301</f>
        <v>45508</v>
      </c>
      <c r="B301" s="29">
        <f t="shared" si="22"/>
        <v>45508</v>
      </c>
      <c r="C301" s="30">
        <f t="shared" ref="C301:C369" si="24">B301</f>
        <v>45508</v>
      </c>
      <c r="D301" s="36">
        <f t="shared" si="21"/>
        <v>32</v>
      </c>
      <c r="E301" s="40"/>
      <c r="F301" s="41"/>
      <c r="G301" s="42"/>
      <c r="H301" s="42"/>
      <c r="I301" s="44"/>
      <c r="J301" s="35"/>
    </row>
    <row r="302" spans="1:10" x14ac:dyDescent="0.25">
      <c r="A302" s="28">
        <f t="shared" si="23"/>
        <v>45509</v>
      </c>
      <c r="B302" s="29">
        <f t="shared" si="22"/>
        <v>45509</v>
      </c>
      <c r="C302" s="30">
        <f t="shared" si="24"/>
        <v>45509</v>
      </c>
      <c r="D302" s="36">
        <f t="shared" si="21"/>
        <v>32</v>
      </c>
      <c r="E302" s="37">
        <v>7</v>
      </c>
      <c r="F302" s="38" t="s">
        <v>15</v>
      </c>
      <c r="G302" s="39" t="s">
        <v>16</v>
      </c>
      <c r="H302" s="39" t="s">
        <v>44</v>
      </c>
      <c r="I302" s="44"/>
      <c r="J302" s="35"/>
    </row>
    <row r="303" spans="1:10" x14ac:dyDescent="0.25">
      <c r="A303" s="28">
        <f t="shared" si="23"/>
        <v>45510</v>
      </c>
      <c r="B303" s="29">
        <f t="shared" si="22"/>
        <v>45510</v>
      </c>
      <c r="C303" s="30">
        <f t="shared" si="24"/>
        <v>45510</v>
      </c>
      <c r="D303" s="36">
        <f t="shared" si="21"/>
        <v>32</v>
      </c>
      <c r="E303" s="40">
        <v>7</v>
      </c>
      <c r="F303" s="41" t="s">
        <v>9</v>
      </c>
      <c r="G303" s="42" t="s">
        <v>10</v>
      </c>
      <c r="H303" s="42" t="s">
        <v>18</v>
      </c>
      <c r="I303" s="44"/>
      <c r="J303" s="35"/>
    </row>
    <row r="304" spans="1:10" x14ac:dyDescent="0.25">
      <c r="A304" s="28">
        <f t="shared" si="23"/>
        <v>45511</v>
      </c>
      <c r="B304" s="29">
        <f t="shared" si="22"/>
        <v>45511</v>
      </c>
      <c r="C304" s="30">
        <f t="shared" si="24"/>
        <v>45511</v>
      </c>
      <c r="D304" s="36">
        <f t="shared" si="21"/>
        <v>32</v>
      </c>
      <c r="E304" s="37">
        <v>7</v>
      </c>
      <c r="F304" s="38" t="s">
        <v>15</v>
      </c>
      <c r="G304" s="39" t="s">
        <v>16</v>
      </c>
      <c r="H304" s="39" t="s">
        <v>44</v>
      </c>
      <c r="I304" s="44"/>
      <c r="J304" s="35"/>
    </row>
    <row r="305" spans="1:10" x14ac:dyDescent="0.25">
      <c r="A305" s="28">
        <f t="shared" si="23"/>
        <v>45512</v>
      </c>
      <c r="B305" s="29">
        <f>+$B$304+1</f>
        <v>45512</v>
      </c>
      <c r="C305" s="30">
        <f t="shared" si="24"/>
        <v>45512</v>
      </c>
      <c r="D305" s="36">
        <f t="shared" si="21"/>
        <v>32</v>
      </c>
      <c r="E305" s="40">
        <v>2</v>
      </c>
      <c r="F305" s="41" t="s">
        <v>23</v>
      </c>
      <c r="G305" s="42" t="s">
        <v>24</v>
      </c>
      <c r="H305" s="42" t="s">
        <v>29</v>
      </c>
      <c r="I305" s="44"/>
      <c r="J305" s="35"/>
    </row>
    <row r="306" spans="1:10" x14ac:dyDescent="0.25">
      <c r="A306" s="28">
        <f t="shared" si="23"/>
        <v>45512</v>
      </c>
      <c r="B306" s="29">
        <f>+$B$304+1</f>
        <v>45512</v>
      </c>
      <c r="C306" s="30">
        <f t="shared" si="24"/>
        <v>45512</v>
      </c>
      <c r="D306" s="36">
        <f t="shared" si="21"/>
        <v>32</v>
      </c>
      <c r="E306" s="40">
        <v>5</v>
      </c>
      <c r="F306" s="41" t="s">
        <v>15</v>
      </c>
      <c r="G306" s="42" t="s">
        <v>19</v>
      </c>
      <c r="H306" s="42" t="s">
        <v>45</v>
      </c>
      <c r="I306" s="44"/>
      <c r="J306" s="35"/>
    </row>
    <row r="307" spans="1:10" x14ac:dyDescent="0.25">
      <c r="A307" s="28">
        <f t="shared" si="23"/>
        <v>45513</v>
      </c>
      <c r="B307" s="29">
        <f>+B305+1</f>
        <v>45513</v>
      </c>
      <c r="C307" s="30">
        <f t="shared" si="24"/>
        <v>45513</v>
      </c>
      <c r="D307" s="36">
        <f t="shared" si="21"/>
        <v>32</v>
      </c>
      <c r="E307" s="37">
        <v>6</v>
      </c>
      <c r="F307" s="38" t="s">
        <v>15</v>
      </c>
      <c r="G307" s="39" t="s">
        <v>19</v>
      </c>
      <c r="H307" s="39" t="s">
        <v>45</v>
      </c>
      <c r="I307" s="44"/>
      <c r="J307" s="35">
        <f>SUM(E302:E307)</f>
        <v>34</v>
      </c>
    </row>
    <row r="308" spans="1:10" x14ac:dyDescent="0.25">
      <c r="A308" s="28">
        <f t="shared" si="23"/>
        <v>45514</v>
      </c>
      <c r="B308" s="29">
        <f t="shared" si="22"/>
        <v>45514</v>
      </c>
      <c r="C308" s="30">
        <f t="shared" si="24"/>
        <v>45514</v>
      </c>
      <c r="D308" s="36">
        <f t="shared" si="21"/>
        <v>32</v>
      </c>
      <c r="E308" s="40"/>
      <c r="F308" s="41"/>
      <c r="G308" s="42"/>
      <c r="H308" s="42"/>
      <c r="I308" s="44"/>
      <c r="J308" s="35"/>
    </row>
    <row r="309" spans="1:10" x14ac:dyDescent="0.25">
      <c r="A309" s="28">
        <f t="shared" si="23"/>
        <v>45515</v>
      </c>
      <c r="B309" s="29">
        <f t="shared" si="22"/>
        <v>45515</v>
      </c>
      <c r="C309" s="30">
        <f t="shared" si="24"/>
        <v>45515</v>
      </c>
      <c r="D309" s="36">
        <f t="shared" si="21"/>
        <v>33</v>
      </c>
      <c r="E309" s="37"/>
      <c r="F309" s="38"/>
      <c r="G309" s="39"/>
      <c r="H309" s="39"/>
      <c r="I309" s="44"/>
      <c r="J309" s="35"/>
    </row>
    <row r="310" spans="1:10" x14ac:dyDescent="0.25">
      <c r="A310" s="28">
        <f t="shared" si="23"/>
        <v>45516</v>
      </c>
      <c r="B310" s="29">
        <f t="shared" si="22"/>
        <v>45516</v>
      </c>
      <c r="C310" s="30">
        <f t="shared" si="24"/>
        <v>45516</v>
      </c>
      <c r="D310" s="36">
        <f t="shared" si="21"/>
        <v>33</v>
      </c>
      <c r="E310" s="37">
        <v>7</v>
      </c>
      <c r="F310" s="38" t="s">
        <v>23</v>
      </c>
      <c r="G310" s="39" t="s">
        <v>24</v>
      </c>
      <c r="H310" s="39" t="s">
        <v>46</v>
      </c>
      <c r="I310" s="44"/>
      <c r="J310" s="35"/>
    </row>
    <row r="311" spans="1:10" x14ac:dyDescent="0.25">
      <c r="A311" s="28">
        <f t="shared" si="23"/>
        <v>45517</v>
      </c>
      <c r="B311" s="29">
        <f t="shared" si="22"/>
        <v>45517</v>
      </c>
      <c r="C311" s="30">
        <f t="shared" si="24"/>
        <v>45517</v>
      </c>
      <c r="D311" s="36">
        <f t="shared" si="21"/>
        <v>33</v>
      </c>
      <c r="E311" s="40">
        <v>7</v>
      </c>
      <c r="F311" s="41" t="s">
        <v>15</v>
      </c>
      <c r="G311" s="42" t="s">
        <v>19</v>
      </c>
      <c r="H311" s="42" t="s">
        <v>45</v>
      </c>
      <c r="I311" s="44"/>
      <c r="J311" s="35"/>
    </row>
    <row r="312" spans="1:10" x14ac:dyDescent="0.25">
      <c r="A312" s="28">
        <f t="shared" si="23"/>
        <v>45518</v>
      </c>
      <c r="B312" s="29">
        <f t="shared" si="22"/>
        <v>45518</v>
      </c>
      <c r="C312" s="30">
        <f t="shared" si="24"/>
        <v>45518</v>
      </c>
      <c r="D312" s="36">
        <f t="shared" si="21"/>
        <v>33</v>
      </c>
      <c r="E312" s="37">
        <v>7</v>
      </c>
      <c r="F312" s="38" t="s">
        <v>34</v>
      </c>
      <c r="G312" s="39" t="s">
        <v>35</v>
      </c>
      <c r="H312" s="39" t="s">
        <v>47</v>
      </c>
      <c r="I312" s="44"/>
      <c r="J312" s="35"/>
    </row>
    <row r="313" spans="1:10" x14ac:dyDescent="0.25">
      <c r="A313" s="28">
        <f t="shared" si="23"/>
        <v>45519</v>
      </c>
      <c r="B313" s="29">
        <f t="shared" si="22"/>
        <v>45519</v>
      </c>
      <c r="C313" s="30">
        <f t="shared" si="24"/>
        <v>45519</v>
      </c>
      <c r="D313" s="36">
        <f t="shared" si="21"/>
        <v>33</v>
      </c>
      <c r="E313" s="54" t="s">
        <v>33</v>
      </c>
      <c r="F313" s="33"/>
      <c r="G313" s="34"/>
      <c r="H313" s="34"/>
      <c r="I313" s="44"/>
      <c r="J313" s="35"/>
    </row>
    <row r="314" spans="1:10" x14ac:dyDescent="0.25">
      <c r="A314" s="28">
        <f t="shared" si="23"/>
        <v>45520</v>
      </c>
      <c r="B314" s="29">
        <f t="shared" si="22"/>
        <v>45520</v>
      </c>
      <c r="C314" s="30">
        <f t="shared" si="24"/>
        <v>45520</v>
      </c>
      <c r="D314" s="36">
        <f t="shared" si="21"/>
        <v>33</v>
      </c>
      <c r="E314" s="37">
        <v>6</v>
      </c>
      <c r="F314" s="38" t="s">
        <v>34</v>
      </c>
      <c r="G314" s="39" t="s">
        <v>35</v>
      </c>
      <c r="H314" s="39" t="s">
        <v>47</v>
      </c>
      <c r="I314" s="44"/>
      <c r="J314" s="35">
        <f>SUM(E310:E314)</f>
        <v>27</v>
      </c>
    </row>
    <row r="315" spans="1:10" x14ac:dyDescent="0.25">
      <c r="A315" s="28">
        <f t="shared" si="23"/>
        <v>45521</v>
      </c>
      <c r="B315" s="29">
        <f t="shared" si="22"/>
        <v>45521</v>
      </c>
      <c r="C315" s="30">
        <f t="shared" si="24"/>
        <v>45521</v>
      </c>
      <c r="D315" s="36">
        <f t="shared" si="21"/>
        <v>33</v>
      </c>
      <c r="E315" s="32"/>
      <c r="F315" s="33"/>
      <c r="G315" s="34"/>
      <c r="H315" s="34"/>
      <c r="I315" s="44"/>
      <c r="J315" s="35"/>
    </row>
    <row r="316" spans="1:10" x14ac:dyDescent="0.25">
      <c r="A316" s="28">
        <f t="shared" si="23"/>
        <v>45522</v>
      </c>
      <c r="B316" s="29">
        <f t="shared" si="22"/>
        <v>45522</v>
      </c>
      <c r="C316" s="30">
        <f t="shared" si="24"/>
        <v>45522</v>
      </c>
      <c r="D316" s="36">
        <f t="shared" si="21"/>
        <v>34</v>
      </c>
      <c r="E316" s="37"/>
      <c r="F316" s="38"/>
      <c r="G316" s="39"/>
      <c r="H316" s="39"/>
      <c r="I316" s="44"/>
      <c r="J316" s="35"/>
    </row>
    <row r="317" spans="1:10" x14ac:dyDescent="0.25">
      <c r="A317" s="28">
        <f t="shared" si="23"/>
        <v>45523</v>
      </c>
      <c r="B317" s="29">
        <f t="shared" si="22"/>
        <v>45523</v>
      </c>
      <c r="C317" s="30">
        <f t="shared" si="24"/>
        <v>45523</v>
      </c>
      <c r="D317" s="36">
        <f t="shared" si="21"/>
        <v>34</v>
      </c>
      <c r="E317" s="58" t="s">
        <v>39</v>
      </c>
      <c r="F317" s="41"/>
      <c r="G317" s="42"/>
      <c r="H317" s="42"/>
      <c r="I317" s="44"/>
      <c r="J317" s="35"/>
    </row>
    <row r="318" spans="1:10" x14ac:dyDescent="0.25">
      <c r="A318" s="28">
        <f t="shared" si="23"/>
        <v>45524</v>
      </c>
      <c r="B318" s="29">
        <f t="shared" si="22"/>
        <v>45524</v>
      </c>
      <c r="C318" s="30">
        <f t="shared" si="24"/>
        <v>45524</v>
      </c>
      <c r="D318" s="36">
        <f t="shared" si="21"/>
        <v>34</v>
      </c>
      <c r="E318" s="58" t="s">
        <v>39</v>
      </c>
      <c r="F318" s="38"/>
      <c r="G318" s="39"/>
      <c r="H318" s="39"/>
      <c r="I318" s="44"/>
      <c r="J318" s="35"/>
    </row>
    <row r="319" spans="1:10" x14ac:dyDescent="0.25">
      <c r="A319" s="28">
        <f t="shared" si="23"/>
        <v>45525</v>
      </c>
      <c r="B319" s="29">
        <f t="shared" si="22"/>
        <v>45525</v>
      </c>
      <c r="C319" s="30">
        <f t="shared" si="24"/>
        <v>45525</v>
      </c>
      <c r="D319" s="36">
        <f t="shared" ref="D319:D387" si="25">WEEKNUM(A319)</f>
        <v>34</v>
      </c>
      <c r="E319" s="58" t="s">
        <v>39</v>
      </c>
      <c r="F319" s="41"/>
      <c r="G319" s="42"/>
      <c r="H319" s="42"/>
      <c r="I319" s="44"/>
      <c r="J319" s="35"/>
    </row>
    <row r="320" spans="1:10" x14ac:dyDescent="0.25">
      <c r="A320" s="28">
        <f t="shared" si="23"/>
        <v>45526</v>
      </c>
      <c r="B320" s="29">
        <f t="shared" si="22"/>
        <v>45526</v>
      </c>
      <c r="C320" s="30">
        <f t="shared" si="24"/>
        <v>45526</v>
      </c>
      <c r="D320" s="36">
        <f t="shared" si="25"/>
        <v>34</v>
      </c>
      <c r="E320" s="58" t="s">
        <v>39</v>
      </c>
      <c r="F320" s="38"/>
      <c r="G320" s="39"/>
      <c r="H320" s="39"/>
      <c r="I320" s="44"/>
      <c r="J320" s="35"/>
    </row>
    <row r="321" spans="1:10" x14ac:dyDescent="0.25">
      <c r="A321" s="28">
        <f t="shared" si="23"/>
        <v>45527</v>
      </c>
      <c r="B321" s="29">
        <f t="shared" si="22"/>
        <v>45527</v>
      </c>
      <c r="C321" s="30">
        <f t="shared" si="24"/>
        <v>45527</v>
      </c>
      <c r="D321" s="36">
        <f t="shared" si="25"/>
        <v>34</v>
      </c>
      <c r="E321" s="58" t="s">
        <v>39</v>
      </c>
      <c r="F321" s="33"/>
      <c r="G321" s="34"/>
      <c r="H321" s="34"/>
      <c r="I321" s="44"/>
      <c r="J321" s="35"/>
    </row>
    <row r="322" spans="1:10" x14ac:dyDescent="0.25">
      <c r="A322" s="28">
        <f t="shared" si="23"/>
        <v>45528</v>
      </c>
      <c r="B322" s="29">
        <f t="shared" si="22"/>
        <v>45528</v>
      </c>
      <c r="C322" s="30">
        <f t="shared" si="24"/>
        <v>45528</v>
      </c>
      <c r="D322" s="36">
        <f t="shared" si="25"/>
        <v>34</v>
      </c>
      <c r="E322" s="32"/>
      <c r="F322" s="33"/>
      <c r="G322" s="34"/>
      <c r="H322" s="34"/>
      <c r="I322" s="44"/>
      <c r="J322" s="35"/>
    </row>
    <row r="323" spans="1:10" x14ac:dyDescent="0.25">
      <c r="A323" s="28">
        <f t="shared" si="23"/>
        <v>45529</v>
      </c>
      <c r="B323" s="29">
        <f t="shared" si="22"/>
        <v>45529</v>
      </c>
      <c r="C323" s="30">
        <f t="shared" si="24"/>
        <v>45529</v>
      </c>
      <c r="D323" s="36">
        <f t="shared" si="25"/>
        <v>35</v>
      </c>
      <c r="E323" s="37"/>
      <c r="F323" s="38"/>
      <c r="G323" s="39"/>
      <c r="H323" s="39"/>
      <c r="I323" s="44"/>
      <c r="J323" s="35"/>
    </row>
    <row r="324" spans="1:10" x14ac:dyDescent="0.25">
      <c r="A324" s="28">
        <f t="shared" si="23"/>
        <v>45530</v>
      </c>
      <c r="B324" s="29">
        <f>+$B$323+1</f>
        <v>45530</v>
      </c>
      <c r="C324" s="30">
        <f t="shared" si="24"/>
        <v>45530</v>
      </c>
      <c r="D324" s="36">
        <f t="shared" si="25"/>
        <v>35</v>
      </c>
      <c r="E324" s="37">
        <v>3</v>
      </c>
      <c r="F324" s="38" t="s">
        <v>34</v>
      </c>
      <c r="G324" s="39" t="s">
        <v>35</v>
      </c>
      <c r="H324" s="39" t="s">
        <v>48</v>
      </c>
      <c r="I324" s="44"/>
      <c r="J324" s="35"/>
    </row>
    <row r="325" spans="1:10" x14ac:dyDescent="0.25">
      <c r="A325" s="28">
        <f t="shared" si="23"/>
        <v>45530</v>
      </c>
      <c r="B325" s="29">
        <f>+$B$323+1</f>
        <v>45530</v>
      </c>
      <c r="C325" s="30">
        <f t="shared" si="24"/>
        <v>45530</v>
      </c>
      <c r="D325" s="36">
        <f t="shared" si="25"/>
        <v>35</v>
      </c>
      <c r="E325" s="37">
        <v>4</v>
      </c>
      <c r="F325" s="38" t="s">
        <v>6</v>
      </c>
      <c r="G325" s="39" t="s">
        <v>26</v>
      </c>
      <c r="H325" s="39" t="s">
        <v>40</v>
      </c>
      <c r="I325" s="44"/>
      <c r="J325" s="35"/>
    </row>
    <row r="326" spans="1:10" x14ac:dyDescent="0.25">
      <c r="A326" s="28">
        <f t="shared" si="23"/>
        <v>45531</v>
      </c>
      <c r="B326" s="29">
        <f>+$B$324+1</f>
        <v>45531</v>
      </c>
      <c r="C326" s="30">
        <f t="shared" si="24"/>
        <v>45531</v>
      </c>
      <c r="D326" s="36">
        <f t="shared" si="25"/>
        <v>35</v>
      </c>
      <c r="E326" s="40">
        <v>7</v>
      </c>
      <c r="F326" s="41" t="s">
        <v>6</v>
      </c>
      <c r="G326" s="42" t="s">
        <v>26</v>
      </c>
      <c r="H326" s="42" t="s">
        <v>40</v>
      </c>
      <c r="I326" s="44"/>
      <c r="J326" s="35"/>
    </row>
    <row r="327" spans="1:10" x14ac:dyDescent="0.25">
      <c r="A327" s="28">
        <f t="shared" si="23"/>
        <v>45532</v>
      </c>
      <c r="B327" s="29">
        <f>+B326+1</f>
        <v>45532</v>
      </c>
      <c r="C327" s="30">
        <f>$B$327</f>
        <v>45532</v>
      </c>
      <c r="D327" s="36">
        <f t="shared" si="25"/>
        <v>35</v>
      </c>
      <c r="E327" s="37">
        <v>0</v>
      </c>
      <c r="F327" s="38" t="s">
        <v>49</v>
      </c>
      <c r="G327" s="39" t="s">
        <v>50</v>
      </c>
      <c r="H327" s="39" t="s">
        <v>51</v>
      </c>
      <c r="I327" s="44"/>
      <c r="J327" s="35"/>
    </row>
    <row r="328" spans="1:10" x14ac:dyDescent="0.25">
      <c r="A328" s="28">
        <f t="shared" si="23"/>
        <v>45533</v>
      </c>
      <c r="B328" s="29">
        <f>+B327+1</f>
        <v>45533</v>
      </c>
      <c r="C328" s="30">
        <f>$B$327</f>
        <v>45532</v>
      </c>
      <c r="D328" s="36">
        <f t="shared" si="25"/>
        <v>35</v>
      </c>
      <c r="E328" s="37">
        <v>7</v>
      </c>
      <c r="F328" s="38" t="s">
        <v>6</v>
      </c>
      <c r="G328" s="39" t="s">
        <v>26</v>
      </c>
      <c r="H328" s="39" t="s">
        <v>40</v>
      </c>
      <c r="I328" s="44"/>
      <c r="J328" s="35"/>
    </row>
    <row r="329" spans="1:10" x14ac:dyDescent="0.25">
      <c r="A329" s="28">
        <f t="shared" si="23"/>
        <v>45533</v>
      </c>
      <c r="B329" s="29">
        <f>+B327+1</f>
        <v>45533</v>
      </c>
      <c r="C329" s="30">
        <f t="shared" si="24"/>
        <v>45533</v>
      </c>
      <c r="D329" s="36">
        <f t="shared" si="25"/>
        <v>35</v>
      </c>
      <c r="E329" s="40">
        <v>7</v>
      </c>
      <c r="F329" s="41" t="s">
        <v>6</v>
      </c>
      <c r="G329" s="42" t="s">
        <v>26</v>
      </c>
      <c r="H329" s="42" t="s">
        <v>40</v>
      </c>
      <c r="I329" s="44"/>
      <c r="J329" s="35"/>
    </row>
    <row r="330" spans="1:10" x14ac:dyDescent="0.25">
      <c r="A330" s="28">
        <f t="shared" si="23"/>
        <v>45534</v>
      </c>
      <c r="B330" s="29">
        <f t="shared" ref="B330:B386" si="26">+B329+1</f>
        <v>45534</v>
      </c>
      <c r="C330" s="30">
        <f t="shared" si="24"/>
        <v>45534</v>
      </c>
      <c r="D330" s="36">
        <f t="shared" si="25"/>
        <v>35</v>
      </c>
      <c r="E330" s="37">
        <v>6</v>
      </c>
      <c r="F330" s="38" t="s">
        <v>6</v>
      </c>
      <c r="G330" s="39" t="s">
        <v>26</v>
      </c>
      <c r="H330" s="39" t="s">
        <v>40</v>
      </c>
      <c r="I330" s="44"/>
      <c r="J330" s="35">
        <f>SUM(E324:E330)</f>
        <v>34</v>
      </c>
    </row>
    <row r="331" spans="1:10" x14ac:dyDescent="0.25">
      <c r="A331" s="28">
        <f t="shared" si="23"/>
        <v>45535</v>
      </c>
      <c r="B331" s="29">
        <f t="shared" si="26"/>
        <v>45535</v>
      </c>
      <c r="C331" s="30">
        <f t="shared" si="24"/>
        <v>45535</v>
      </c>
      <c r="D331" s="36">
        <f t="shared" si="25"/>
        <v>35</v>
      </c>
      <c r="E331" s="40"/>
      <c r="F331" s="41"/>
      <c r="G331" s="42"/>
      <c r="H331" s="42"/>
      <c r="I331" s="44"/>
      <c r="J331" s="35"/>
    </row>
    <row r="332" spans="1:10" x14ac:dyDescent="0.25">
      <c r="A332" s="28">
        <f t="shared" si="23"/>
        <v>45536</v>
      </c>
      <c r="B332" s="29">
        <f t="shared" si="26"/>
        <v>45536</v>
      </c>
      <c r="C332" s="30">
        <f t="shared" si="24"/>
        <v>45536</v>
      </c>
      <c r="D332" s="36">
        <f t="shared" si="25"/>
        <v>36</v>
      </c>
      <c r="E332" s="32"/>
      <c r="F332" s="33"/>
      <c r="G332" s="34"/>
      <c r="H332" s="34"/>
      <c r="I332" s="44"/>
      <c r="J332" s="35"/>
    </row>
    <row r="333" spans="1:10" x14ac:dyDescent="0.25">
      <c r="A333" s="28">
        <f t="shared" si="23"/>
        <v>45537</v>
      </c>
      <c r="B333" s="29">
        <f t="shared" si="26"/>
        <v>45537</v>
      </c>
      <c r="C333" s="30">
        <f t="shared" si="24"/>
        <v>45537</v>
      </c>
      <c r="D333" s="36">
        <f t="shared" si="25"/>
        <v>36</v>
      </c>
      <c r="E333" s="37">
        <v>7</v>
      </c>
      <c r="F333" s="38" t="s">
        <v>6</v>
      </c>
      <c r="G333" s="39" t="s">
        <v>26</v>
      </c>
      <c r="H333" s="39" t="s">
        <v>40</v>
      </c>
      <c r="I333" s="44"/>
      <c r="J333" s="35"/>
    </row>
    <row r="334" spans="1:10" x14ac:dyDescent="0.25">
      <c r="A334" s="28">
        <f t="shared" si="23"/>
        <v>45538</v>
      </c>
      <c r="B334" s="29">
        <f t="shared" si="26"/>
        <v>45538</v>
      </c>
      <c r="C334" s="30">
        <f t="shared" si="24"/>
        <v>45538</v>
      </c>
      <c r="D334" s="36">
        <f t="shared" si="25"/>
        <v>36</v>
      </c>
      <c r="E334" s="40">
        <v>7</v>
      </c>
      <c r="F334" s="41" t="s">
        <v>9</v>
      </c>
      <c r="G334" s="42" t="s">
        <v>10</v>
      </c>
      <c r="H334" s="42" t="s">
        <v>18</v>
      </c>
      <c r="I334" s="44"/>
      <c r="J334" s="35"/>
    </row>
    <row r="335" spans="1:10" x14ac:dyDescent="0.25">
      <c r="A335" s="28">
        <f t="shared" si="23"/>
        <v>45539</v>
      </c>
      <c r="B335" s="29">
        <f t="shared" si="26"/>
        <v>45539</v>
      </c>
      <c r="C335" s="30">
        <f t="shared" si="24"/>
        <v>45539</v>
      </c>
      <c r="D335" s="36">
        <f t="shared" si="25"/>
        <v>36</v>
      </c>
      <c r="E335" s="37">
        <v>7</v>
      </c>
      <c r="F335" s="38" t="s">
        <v>6</v>
      </c>
      <c r="G335" s="39" t="s">
        <v>26</v>
      </c>
      <c r="H335" s="39" t="s">
        <v>40</v>
      </c>
      <c r="I335" s="44"/>
      <c r="J335" s="35"/>
    </row>
    <row r="336" spans="1:10" x14ac:dyDescent="0.25">
      <c r="A336" s="28">
        <f t="shared" si="23"/>
        <v>45540</v>
      </c>
      <c r="B336" s="29">
        <f t="shared" si="26"/>
        <v>45540</v>
      </c>
      <c r="C336" s="30">
        <f t="shared" si="24"/>
        <v>45540</v>
      </c>
      <c r="D336" s="36">
        <f t="shared" si="25"/>
        <v>36</v>
      </c>
      <c r="E336" s="40">
        <v>7</v>
      </c>
      <c r="F336" s="41" t="s">
        <v>6</v>
      </c>
      <c r="G336" s="42" t="s">
        <v>26</v>
      </c>
      <c r="H336" s="42" t="s">
        <v>40</v>
      </c>
      <c r="I336" s="44"/>
      <c r="J336" s="35"/>
    </row>
    <row r="337" spans="1:10" x14ac:dyDescent="0.25">
      <c r="A337" s="28">
        <f t="shared" si="23"/>
        <v>45541</v>
      </c>
      <c r="B337" s="29">
        <f t="shared" si="26"/>
        <v>45541</v>
      </c>
      <c r="C337" s="30">
        <f t="shared" si="24"/>
        <v>45541</v>
      </c>
      <c r="D337" s="36">
        <f t="shared" si="25"/>
        <v>36</v>
      </c>
      <c r="E337" s="37">
        <v>6</v>
      </c>
      <c r="F337" s="38" t="s">
        <v>23</v>
      </c>
      <c r="G337" s="39" t="s">
        <v>24</v>
      </c>
      <c r="H337" s="39" t="s">
        <v>29</v>
      </c>
      <c r="I337" s="44"/>
      <c r="J337" s="35">
        <f>SUM(E333:E337)</f>
        <v>34</v>
      </c>
    </row>
    <row r="338" spans="1:10" x14ac:dyDescent="0.25">
      <c r="A338" s="28">
        <f t="shared" si="23"/>
        <v>45542</v>
      </c>
      <c r="B338" s="29">
        <f t="shared" si="26"/>
        <v>45542</v>
      </c>
      <c r="C338" s="30">
        <f t="shared" si="24"/>
        <v>45542</v>
      </c>
      <c r="D338" s="36">
        <f t="shared" si="25"/>
        <v>36</v>
      </c>
      <c r="E338" s="37"/>
      <c r="F338" s="38"/>
      <c r="G338" s="39"/>
      <c r="H338" s="39"/>
      <c r="I338" s="44"/>
      <c r="J338" s="35"/>
    </row>
    <row r="339" spans="1:10" x14ac:dyDescent="0.25">
      <c r="A339" s="28">
        <f t="shared" si="23"/>
        <v>45543</v>
      </c>
      <c r="B339" s="29">
        <f t="shared" si="26"/>
        <v>45543</v>
      </c>
      <c r="C339" s="30">
        <f t="shared" si="24"/>
        <v>45543</v>
      </c>
      <c r="D339" s="36">
        <f t="shared" si="25"/>
        <v>37</v>
      </c>
      <c r="E339" s="32"/>
      <c r="F339" s="33"/>
      <c r="G339" s="34"/>
      <c r="H339" s="34"/>
      <c r="I339" s="44"/>
      <c r="J339" s="35"/>
    </row>
    <row r="340" spans="1:10" x14ac:dyDescent="0.25">
      <c r="A340" s="28">
        <f t="shared" si="23"/>
        <v>45544</v>
      </c>
      <c r="B340" s="29">
        <f t="shared" si="26"/>
        <v>45544</v>
      </c>
      <c r="C340" s="30">
        <f t="shared" si="24"/>
        <v>45544</v>
      </c>
      <c r="D340" s="36">
        <f t="shared" si="25"/>
        <v>37</v>
      </c>
      <c r="E340" s="37">
        <v>8.5</v>
      </c>
      <c r="F340" s="38" t="s">
        <v>9</v>
      </c>
      <c r="G340" s="39" t="s">
        <v>10</v>
      </c>
      <c r="H340" s="39" t="s">
        <v>18</v>
      </c>
      <c r="I340" s="44"/>
      <c r="J340" s="35"/>
    </row>
    <row r="341" spans="1:10" x14ac:dyDescent="0.25">
      <c r="A341" s="28">
        <f t="shared" si="23"/>
        <v>45545</v>
      </c>
      <c r="B341" s="29">
        <f t="shared" si="26"/>
        <v>45545</v>
      </c>
      <c r="C341" s="30">
        <f t="shared" si="24"/>
        <v>45545</v>
      </c>
      <c r="D341" s="36">
        <f t="shared" si="25"/>
        <v>37</v>
      </c>
      <c r="E341" s="40">
        <v>8.5</v>
      </c>
      <c r="F341" s="41" t="s">
        <v>9</v>
      </c>
      <c r="G341" s="42" t="s">
        <v>10</v>
      </c>
      <c r="H341" s="42" t="s">
        <v>18</v>
      </c>
      <c r="I341" s="44"/>
      <c r="J341" s="35"/>
    </row>
    <row r="342" spans="1:10" x14ac:dyDescent="0.25">
      <c r="A342" s="28">
        <f t="shared" si="23"/>
        <v>45546</v>
      </c>
      <c r="B342" s="29">
        <f t="shared" si="26"/>
        <v>45546</v>
      </c>
      <c r="C342" s="30">
        <f t="shared" si="24"/>
        <v>45546</v>
      </c>
      <c r="D342" s="36">
        <f t="shared" si="25"/>
        <v>37</v>
      </c>
      <c r="E342" s="37">
        <v>8.5</v>
      </c>
      <c r="F342" s="38" t="s">
        <v>9</v>
      </c>
      <c r="G342" s="39" t="s">
        <v>10</v>
      </c>
      <c r="H342" s="39" t="s">
        <v>18</v>
      </c>
      <c r="I342" s="44"/>
      <c r="J342" s="35"/>
    </row>
    <row r="343" spans="1:10" x14ac:dyDescent="0.25">
      <c r="A343" s="28">
        <f t="shared" si="23"/>
        <v>45547</v>
      </c>
      <c r="B343" s="29">
        <f t="shared" si="26"/>
        <v>45547</v>
      </c>
      <c r="C343" s="30">
        <f t="shared" si="24"/>
        <v>45547</v>
      </c>
      <c r="D343" s="36">
        <f t="shared" si="25"/>
        <v>37</v>
      </c>
      <c r="E343" s="40">
        <v>8.5</v>
      </c>
      <c r="F343" s="41" t="s">
        <v>9</v>
      </c>
      <c r="G343" s="42" t="s">
        <v>10</v>
      </c>
      <c r="H343" s="42" t="s">
        <v>18</v>
      </c>
      <c r="I343" s="44"/>
      <c r="J343" s="35"/>
    </row>
    <row r="344" spans="1:10" x14ac:dyDescent="0.25">
      <c r="A344" s="28">
        <f t="shared" si="23"/>
        <v>45548</v>
      </c>
      <c r="B344" s="29">
        <f>+$B$343+1</f>
        <v>45548</v>
      </c>
      <c r="C344" s="30">
        <f t="shared" si="24"/>
        <v>45548</v>
      </c>
      <c r="D344" s="36">
        <f t="shared" si="25"/>
        <v>37</v>
      </c>
      <c r="E344" s="37">
        <v>3</v>
      </c>
      <c r="F344" s="38" t="s">
        <v>9</v>
      </c>
      <c r="G344" s="39" t="s">
        <v>10</v>
      </c>
      <c r="H344" s="39" t="s">
        <v>18</v>
      </c>
      <c r="I344" s="44"/>
      <c r="J344" s="35"/>
    </row>
    <row r="345" spans="1:10" x14ac:dyDescent="0.25">
      <c r="A345" s="28">
        <f t="shared" si="23"/>
        <v>45548</v>
      </c>
      <c r="B345" s="29">
        <f>+$B$343+1</f>
        <v>45548</v>
      </c>
      <c r="C345" s="30">
        <f t="shared" si="24"/>
        <v>45548</v>
      </c>
      <c r="D345" s="36">
        <f t="shared" si="25"/>
        <v>37</v>
      </c>
      <c r="E345" s="37">
        <v>3</v>
      </c>
      <c r="F345" s="38" t="s">
        <v>23</v>
      </c>
      <c r="G345" s="39" t="s">
        <v>24</v>
      </c>
      <c r="H345" s="39" t="s">
        <v>29</v>
      </c>
      <c r="I345" s="44"/>
      <c r="J345" s="35">
        <f>SUM(E340:E345)</f>
        <v>40</v>
      </c>
    </row>
    <row r="346" spans="1:10" x14ac:dyDescent="0.25">
      <c r="A346" s="28">
        <f t="shared" si="23"/>
        <v>45549</v>
      </c>
      <c r="B346" s="29">
        <f>+B344+1</f>
        <v>45549</v>
      </c>
      <c r="C346" s="30">
        <f t="shared" si="24"/>
        <v>45549</v>
      </c>
      <c r="D346" s="36">
        <f t="shared" si="25"/>
        <v>37</v>
      </c>
      <c r="E346" s="37"/>
      <c r="F346" s="38"/>
      <c r="G346" s="39"/>
      <c r="H346" s="39"/>
      <c r="I346" s="44"/>
      <c r="J346" s="35"/>
    </row>
    <row r="347" spans="1:10" x14ac:dyDescent="0.25">
      <c r="A347" s="28">
        <f t="shared" si="23"/>
        <v>45550</v>
      </c>
      <c r="B347" s="29">
        <f t="shared" si="26"/>
        <v>45550</v>
      </c>
      <c r="C347" s="30">
        <f t="shared" si="24"/>
        <v>45550</v>
      </c>
      <c r="D347" s="36">
        <f t="shared" si="25"/>
        <v>38</v>
      </c>
      <c r="E347" s="37"/>
      <c r="F347" s="38"/>
      <c r="G347" s="39"/>
      <c r="H347" s="39"/>
      <c r="I347" s="44"/>
      <c r="J347" s="35"/>
    </row>
    <row r="348" spans="1:10" x14ac:dyDescent="0.25">
      <c r="A348" s="28">
        <f t="shared" si="23"/>
        <v>45551</v>
      </c>
      <c r="B348" s="29">
        <f t="shared" si="26"/>
        <v>45551</v>
      </c>
      <c r="C348" s="30">
        <f t="shared" si="24"/>
        <v>45551</v>
      </c>
      <c r="D348" s="36">
        <f t="shared" si="25"/>
        <v>38</v>
      </c>
      <c r="E348" s="37">
        <v>8.5</v>
      </c>
      <c r="F348" s="38" t="s">
        <v>23</v>
      </c>
      <c r="G348" s="39" t="s">
        <v>24</v>
      </c>
      <c r="H348" s="39" t="s">
        <v>29</v>
      </c>
      <c r="I348" s="44"/>
      <c r="J348" s="35"/>
    </row>
    <row r="349" spans="1:10" x14ac:dyDescent="0.25">
      <c r="A349" s="28">
        <f t="shared" si="23"/>
        <v>45552</v>
      </c>
      <c r="B349" s="29">
        <f>+$B$348+1</f>
        <v>45552</v>
      </c>
      <c r="C349" s="30">
        <f t="shared" si="24"/>
        <v>45552</v>
      </c>
      <c r="D349" s="36">
        <f t="shared" si="25"/>
        <v>38</v>
      </c>
      <c r="E349" s="40">
        <v>8.5</v>
      </c>
      <c r="F349" s="41" t="s">
        <v>23</v>
      </c>
      <c r="G349" s="42" t="s">
        <v>24</v>
      </c>
      <c r="H349" s="42" t="s">
        <v>29</v>
      </c>
      <c r="I349" s="44"/>
      <c r="J349" s="35"/>
    </row>
    <row r="350" spans="1:10" x14ac:dyDescent="0.25">
      <c r="A350" s="28">
        <f t="shared" si="23"/>
        <v>45552</v>
      </c>
      <c r="B350" s="29">
        <f>+$B$348+1</f>
        <v>45552</v>
      </c>
      <c r="C350" s="30">
        <f t="shared" si="24"/>
        <v>45552</v>
      </c>
      <c r="D350" s="36">
        <f t="shared" si="25"/>
        <v>38</v>
      </c>
      <c r="E350" s="47">
        <v>0</v>
      </c>
      <c r="F350" s="48" t="s">
        <v>15</v>
      </c>
      <c r="G350" s="49" t="s">
        <v>16</v>
      </c>
      <c r="H350" s="49" t="s">
        <v>17</v>
      </c>
      <c r="I350" s="44"/>
      <c r="J350" s="35"/>
    </row>
    <row r="351" spans="1:10" x14ac:dyDescent="0.25">
      <c r="A351" s="28">
        <f t="shared" si="23"/>
        <v>45553</v>
      </c>
      <c r="B351" s="29">
        <f>+B349+1</f>
        <v>45553</v>
      </c>
      <c r="C351" s="30">
        <f t="shared" si="24"/>
        <v>45553</v>
      </c>
      <c r="D351" s="36">
        <f t="shared" si="25"/>
        <v>38</v>
      </c>
      <c r="E351" s="37">
        <v>8.5</v>
      </c>
      <c r="F351" s="38" t="s">
        <v>23</v>
      </c>
      <c r="G351" s="39" t="s">
        <v>24</v>
      </c>
      <c r="H351" s="39" t="s">
        <v>29</v>
      </c>
      <c r="I351" s="44"/>
      <c r="J351" s="35"/>
    </row>
    <row r="352" spans="1:10" x14ac:dyDescent="0.25">
      <c r="A352" s="28">
        <f t="shared" si="23"/>
        <v>45554</v>
      </c>
      <c r="B352" s="29">
        <f>+$B$351+1</f>
        <v>45554</v>
      </c>
      <c r="C352" s="30">
        <f t="shared" si="24"/>
        <v>45554</v>
      </c>
      <c r="D352" s="36">
        <f t="shared" si="25"/>
        <v>38</v>
      </c>
      <c r="E352" s="40">
        <v>4</v>
      </c>
      <c r="F352" s="41" t="s">
        <v>23</v>
      </c>
      <c r="G352" s="42" t="s">
        <v>24</v>
      </c>
      <c r="H352" s="42" t="s">
        <v>29</v>
      </c>
      <c r="I352" s="44"/>
      <c r="J352" s="35"/>
    </row>
    <row r="353" spans="1:10" x14ac:dyDescent="0.25">
      <c r="A353" s="28">
        <f t="shared" si="23"/>
        <v>45554</v>
      </c>
      <c r="B353" s="29">
        <f>+$B$351+1</f>
        <v>45554</v>
      </c>
      <c r="C353" s="30">
        <f t="shared" si="24"/>
        <v>45554</v>
      </c>
      <c r="D353" s="36">
        <f t="shared" si="25"/>
        <v>38</v>
      </c>
      <c r="E353" s="40">
        <v>1.5</v>
      </c>
      <c r="F353" s="41" t="s">
        <v>15</v>
      </c>
      <c r="G353" s="42" t="s">
        <v>16</v>
      </c>
      <c r="H353" s="42" t="s">
        <v>17</v>
      </c>
      <c r="I353" s="44"/>
      <c r="J353" s="35"/>
    </row>
    <row r="354" spans="1:10" x14ac:dyDescent="0.25">
      <c r="A354" s="28">
        <f t="shared" si="23"/>
        <v>45554</v>
      </c>
      <c r="B354" s="29">
        <f>+$B$351+1</f>
        <v>45554</v>
      </c>
      <c r="C354" s="30">
        <f t="shared" si="24"/>
        <v>45554</v>
      </c>
      <c r="D354" s="36">
        <f t="shared" si="25"/>
        <v>38</v>
      </c>
      <c r="E354" s="40">
        <v>2</v>
      </c>
      <c r="F354" s="41" t="s">
        <v>9</v>
      </c>
      <c r="G354" s="42" t="s">
        <v>10</v>
      </c>
      <c r="H354" s="42" t="s">
        <v>18</v>
      </c>
      <c r="I354" s="44"/>
      <c r="J354" s="35"/>
    </row>
    <row r="355" spans="1:10" x14ac:dyDescent="0.25">
      <c r="A355" s="28">
        <f t="shared" si="23"/>
        <v>45554</v>
      </c>
      <c r="B355" s="29">
        <f>+$B$351+1</f>
        <v>45554</v>
      </c>
      <c r="C355" s="30">
        <f t="shared" si="24"/>
        <v>45554</v>
      </c>
      <c r="D355" s="36">
        <f t="shared" si="25"/>
        <v>38</v>
      </c>
      <c r="E355" s="40">
        <v>1</v>
      </c>
      <c r="F355" s="41" t="s">
        <v>6</v>
      </c>
      <c r="G355" s="42" t="s">
        <v>26</v>
      </c>
      <c r="H355" s="42" t="s">
        <v>40</v>
      </c>
      <c r="I355" s="44"/>
      <c r="J355" s="35"/>
    </row>
    <row r="356" spans="1:10" x14ac:dyDescent="0.25">
      <c r="A356" s="28">
        <f t="shared" si="23"/>
        <v>45555</v>
      </c>
      <c r="B356" s="29">
        <f>+$B$352+1</f>
        <v>45555</v>
      </c>
      <c r="C356" s="30">
        <f t="shared" si="24"/>
        <v>45555</v>
      </c>
      <c r="D356" s="36">
        <f t="shared" si="25"/>
        <v>38</v>
      </c>
      <c r="E356" s="37">
        <v>1</v>
      </c>
      <c r="F356" s="38" t="s">
        <v>9</v>
      </c>
      <c r="G356" s="39" t="s">
        <v>10</v>
      </c>
      <c r="H356" s="39" t="s">
        <v>18</v>
      </c>
      <c r="I356" s="44"/>
      <c r="J356" s="35"/>
    </row>
    <row r="357" spans="1:10" x14ac:dyDescent="0.25">
      <c r="A357" s="28">
        <f t="shared" si="23"/>
        <v>45555</v>
      </c>
      <c r="B357" s="29">
        <f>+$B$352+1</f>
        <v>45555</v>
      </c>
      <c r="C357" s="30">
        <f t="shared" si="24"/>
        <v>45555</v>
      </c>
      <c r="D357" s="36">
        <f t="shared" si="25"/>
        <v>38</v>
      </c>
      <c r="E357" s="37">
        <v>5</v>
      </c>
      <c r="F357" s="38" t="s">
        <v>6</v>
      </c>
      <c r="G357" s="39" t="s">
        <v>26</v>
      </c>
      <c r="H357" s="39" t="s">
        <v>40</v>
      </c>
      <c r="I357" s="44"/>
      <c r="J357" s="35">
        <f>SUM(E348:E357)</f>
        <v>40</v>
      </c>
    </row>
    <row r="358" spans="1:10" x14ac:dyDescent="0.25">
      <c r="A358" s="28">
        <f t="shared" si="23"/>
        <v>45556</v>
      </c>
      <c r="B358" s="29">
        <f>+B356+1</f>
        <v>45556</v>
      </c>
      <c r="C358" s="30">
        <f t="shared" si="24"/>
        <v>45556</v>
      </c>
      <c r="D358" s="36">
        <f t="shared" si="25"/>
        <v>38</v>
      </c>
      <c r="E358" s="37"/>
      <c r="F358" s="38"/>
      <c r="G358" s="39"/>
      <c r="H358" s="39"/>
      <c r="I358" s="44"/>
      <c r="J358" s="35"/>
    </row>
    <row r="359" spans="1:10" x14ac:dyDescent="0.25">
      <c r="A359" s="28">
        <f t="shared" si="23"/>
        <v>45557</v>
      </c>
      <c r="B359" s="29">
        <f t="shared" si="26"/>
        <v>45557</v>
      </c>
      <c r="C359" s="30">
        <f t="shared" si="24"/>
        <v>45557</v>
      </c>
      <c r="D359" s="36">
        <f t="shared" si="25"/>
        <v>39</v>
      </c>
      <c r="E359" s="40"/>
      <c r="F359" s="41"/>
      <c r="G359" s="42"/>
      <c r="H359" s="42"/>
      <c r="I359" s="44"/>
      <c r="J359" s="35"/>
    </row>
    <row r="360" spans="1:10" x14ac:dyDescent="0.25">
      <c r="A360" s="28">
        <f t="shared" si="23"/>
        <v>45558</v>
      </c>
      <c r="B360" s="29">
        <f>+$B$359+1</f>
        <v>45558</v>
      </c>
      <c r="C360" s="30">
        <f t="shared" si="24"/>
        <v>45558</v>
      </c>
      <c r="D360" s="36">
        <f t="shared" si="25"/>
        <v>39</v>
      </c>
      <c r="E360" s="37">
        <v>2</v>
      </c>
      <c r="F360" s="38" t="s">
        <v>34</v>
      </c>
      <c r="G360" s="39" t="s">
        <v>35</v>
      </c>
      <c r="H360" s="39" t="s">
        <v>52</v>
      </c>
      <c r="I360" s="44"/>
      <c r="J360" s="35"/>
    </row>
    <row r="361" spans="1:10" x14ac:dyDescent="0.25">
      <c r="A361" s="28">
        <f>B361</f>
        <v>45558</v>
      </c>
      <c r="B361" s="29">
        <f>+$B$359+1</f>
        <v>45558</v>
      </c>
      <c r="C361" s="30">
        <f>B361</f>
        <v>45558</v>
      </c>
      <c r="D361" s="36">
        <f>WEEKNUM(A361)</f>
        <v>39</v>
      </c>
      <c r="E361" s="37">
        <v>6.5</v>
      </c>
      <c r="F361" s="38" t="s">
        <v>6</v>
      </c>
      <c r="G361" s="39" t="s">
        <v>26</v>
      </c>
      <c r="H361" s="39" t="s">
        <v>40</v>
      </c>
      <c r="I361" s="44"/>
      <c r="J361" s="35"/>
    </row>
    <row r="362" spans="1:10" x14ac:dyDescent="0.25">
      <c r="A362" s="28">
        <f t="shared" si="23"/>
        <v>45559</v>
      </c>
      <c r="B362" s="29">
        <f>+$B$360+1</f>
        <v>45559</v>
      </c>
      <c r="C362" s="30">
        <f t="shared" si="24"/>
        <v>45559</v>
      </c>
      <c r="D362" s="36">
        <f t="shared" si="25"/>
        <v>39</v>
      </c>
      <c r="E362" s="40">
        <v>1.5</v>
      </c>
      <c r="F362" s="41" t="s">
        <v>15</v>
      </c>
      <c r="G362" s="42" t="s">
        <v>16</v>
      </c>
      <c r="H362" s="42" t="s">
        <v>17</v>
      </c>
      <c r="I362" s="44"/>
      <c r="J362" s="35"/>
    </row>
    <row r="363" spans="1:10" x14ac:dyDescent="0.25">
      <c r="A363" s="28">
        <f t="shared" si="23"/>
        <v>45559</v>
      </c>
      <c r="B363" s="29">
        <f>+$B$360+1</f>
        <v>45559</v>
      </c>
      <c r="C363" s="30">
        <f t="shared" si="24"/>
        <v>45559</v>
      </c>
      <c r="D363" s="36">
        <f t="shared" si="25"/>
        <v>39</v>
      </c>
      <c r="E363" s="40">
        <v>2</v>
      </c>
      <c r="F363" s="41" t="s">
        <v>34</v>
      </c>
      <c r="G363" s="42" t="s">
        <v>35</v>
      </c>
      <c r="H363" s="42" t="s">
        <v>52</v>
      </c>
      <c r="I363" s="44"/>
      <c r="J363" s="35"/>
    </row>
    <row r="364" spans="1:10" x14ac:dyDescent="0.25">
      <c r="A364" s="28">
        <f t="shared" si="23"/>
        <v>45559</v>
      </c>
      <c r="B364" s="29">
        <f>+$B$360+1</f>
        <v>45559</v>
      </c>
      <c r="C364" s="30">
        <f t="shared" si="24"/>
        <v>45559</v>
      </c>
      <c r="D364" s="36">
        <f t="shared" si="25"/>
        <v>39</v>
      </c>
      <c r="E364" s="40">
        <v>5</v>
      </c>
      <c r="F364" s="41" t="s">
        <v>6</v>
      </c>
      <c r="G364" s="42" t="s">
        <v>26</v>
      </c>
      <c r="H364" s="42" t="s">
        <v>40</v>
      </c>
      <c r="I364" s="44"/>
      <c r="J364" s="35"/>
    </row>
    <row r="365" spans="1:10" x14ac:dyDescent="0.25">
      <c r="A365" s="28">
        <f t="shared" si="23"/>
        <v>45560</v>
      </c>
      <c r="B365" s="29">
        <f>+$B$362+1</f>
        <v>45560</v>
      </c>
      <c r="C365" s="30">
        <f t="shared" si="24"/>
        <v>45560</v>
      </c>
      <c r="D365" s="36">
        <f t="shared" si="25"/>
        <v>39</v>
      </c>
      <c r="E365" s="37">
        <v>5.5</v>
      </c>
      <c r="F365" s="38" t="s">
        <v>34</v>
      </c>
      <c r="G365" s="39" t="s">
        <v>35</v>
      </c>
      <c r="H365" s="39" t="s">
        <v>52</v>
      </c>
      <c r="I365" s="44"/>
      <c r="J365" s="35"/>
    </row>
    <row r="366" spans="1:10" x14ac:dyDescent="0.25">
      <c r="A366" s="28">
        <f t="shared" si="23"/>
        <v>45560</v>
      </c>
      <c r="B366" s="29">
        <f>+$B$362+1</f>
        <v>45560</v>
      </c>
      <c r="C366" s="30">
        <f t="shared" si="24"/>
        <v>45560</v>
      </c>
      <c r="D366" s="36">
        <f t="shared" si="25"/>
        <v>39</v>
      </c>
      <c r="E366" s="37">
        <v>3</v>
      </c>
      <c r="F366" s="38" t="s">
        <v>53</v>
      </c>
      <c r="G366" s="39" t="s">
        <v>54</v>
      </c>
      <c r="H366" s="39" t="s">
        <v>55</v>
      </c>
      <c r="I366" s="44"/>
      <c r="J366" s="35"/>
    </row>
    <row r="367" spans="1:10" x14ac:dyDescent="0.25">
      <c r="A367" s="28">
        <f t="shared" si="23"/>
        <v>45561</v>
      </c>
      <c r="B367" s="29">
        <f>+$B$365+1</f>
        <v>45561</v>
      </c>
      <c r="C367" s="30">
        <f t="shared" si="24"/>
        <v>45561</v>
      </c>
      <c r="D367" s="36">
        <f t="shared" si="25"/>
        <v>39</v>
      </c>
      <c r="E367" s="40">
        <v>1.5</v>
      </c>
      <c r="F367" s="41" t="s">
        <v>15</v>
      </c>
      <c r="G367" s="42" t="s">
        <v>16</v>
      </c>
      <c r="H367" s="42" t="s">
        <v>17</v>
      </c>
      <c r="I367" s="44"/>
      <c r="J367" s="35"/>
    </row>
    <row r="368" spans="1:10" x14ac:dyDescent="0.25">
      <c r="A368" s="28">
        <f t="shared" si="23"/>
        <v>45561</v>
      </c>
      <c r="B368" s="29">
        <f>+$B$365+1</f>
        <v>45561</v>
      </c>
      <c r="C368" s="30">
        <f t="shared" si="24"/>
        <v>45561</v>
      </c>
      <c r="D368" s="36">
        <f t="shared" si="25"/>
        <v>39</v>
      </c>
      <c r="E368" s="40">
        <v>5</v>
      </c>
      <c r="F368" s="41" t="s">
        <v>9</v>
      </c>
      <c r="G368" s="42" t="s">
        <v>10</v>
      </c>
      <c r="H368" s="42" t="s">
        <v>18</v>
      </c>
      <c r="I368" s="44"/>
      <c r="J368" s="35"/>
    </row>
    <row r="369" spans="1:10" x14ac:dyDescent="0.25">
      <c r="A369" s="28">
        <f t="shared" si="23"/>
        <v>45561</v>
      </c>
      <c r="B369" s="29">
        <f>+$B$365+1</f>
        <v>45561</v>
      </c>
      <c r="C369" s="30">
        <f t="shared" si="24"/>
        <v>45561</v>
      </c>
      <c r="D369" s="36">
        <f t="shared" si="25"/>
        <v>39</v>
      </c>
      <c r="E369" s="40">
        <v>2</v>
      </c>
      <c r="F369" s="41" t="s">
        <v>53</v>
      </c>
      <c r="G369" s="42" t="s">
        <v>54</v>
      </c>
      <c r="H369" s="42" t="s">
        <v>56</v>
      </c>
      <c r="I369" s="44"/>
      <c r="J369" s="35"/>
    </row>
    <row r="370" spans="1:10" x14ac:dyDescent="0.25">
      <c r="A370" s="28">
        <f t="shared" ref="A370:A477" si="27">B370</f>
        <v>45562</v>
      </c>
      <c r="B370" s="29">
        <f>+$B$367+1</f>
        <v>45562</v>
      </c>
      <c r="C370" s="30">
        <f t="shared" ref="C370:C477" si="28">B370</f>
        <v>45562</v>
      </c>
      <c r="D370" s="36">
        <f t="shared" si="25"/>
        <v>39</v>
      </c>
      <c r="E370" s="37">
        <v>2</v>
      </c>
      <c r="F370" s="38" t="s">
        <v>53</v>
      </c>
      <c r="G370" s="39" t="s">
        <v>54</v>
      </c>
      <c r="H370" s="39" t="s">
        <v>56</v>
      </c>
      <c r="I370" s="44"/>
      <c r="J370" s="35"/>
    </row>
    <row r="371" spans="1:10" x14ac:dyDescent="0.25">
      <c r="A371" s="28">
        <f t="shared" si="27"/>
        <v>45562</v>
      </c>
      <c r="B371" s="29">
        <f>+$B$367+1</f>
        <v>45562</v>
      </c>
      <c r="C371" s="30">
        <f t="shared" si="28"/>
        <v>45562</v>
      </c>
      <c r="D371" s="36">
        <f t="shared" si="25"/>
        <v>39</v>
      </c>
      <c r="E371" s="37">
        <v>4</v>
      </c>
      <c r="F371" s="38" t="s">
        <v>6</v>
      </c>
      <c r="G371" s="39" t="s">
        <v>26</v>
      </c>
      <c r="H371" s="39" t="s">
        <v>40</v>
      </c>
      <c r="I371" s="44"/>
      <c r="J371" s="35">
        <f>SUM(E360:E371)</f>
        <v>40</v>
      </c>
    </row>
    <row r="372" spans="1:10" x14ac:dyDescent="0.25">
      <c r="A372" s="28">
        <f t="shared" si="27"/>
        <v>45563</v>
      </c>
      <c r="B372" s="29">
        <f>+B370+1</f>
        <v>45563</v>
      </c>
      <c r="C372" s="30">
        <f t="shared" si="28"/>
        <v>45563</v>
      </c>
      <c r="D372" s="36">
        <f t="shared" si="25"/>
        <v>39</v>
      </c>
      <c r="E372" s="37"/>
      <c r="F372" s="38"/>
      <c r="G372" s="39"/>
      <c r="H372" s="39"/>
      <c r="I372" s="44"/>
      <c r="J372" s="35"/>
    </row>
    <row r="373" spans="1:10" x14ac:dyDescent="0.25">
      <c r="A373" s="28">
        <f t="shared" si="27"/>
        <v>45564</v>
      </c>
      <c r="B373" s="29">
        <f>+B372+1</f>
        <v>45564</v>
      </c>
      <c r="C373" s="30">
        <f t="shared" si="28"/>
        <v>45564</v>
      </c>
      <c r="D373" s="36">
        <f t="shared" si="25"/>
        <v>40</v>
      </c>
      <c r="E373" s="37"/>
      <c r="F373" s="38"/>
      <c r="G373" s="39"/>
      <c r="H373" s="39"/>
      <c r="I373" s="44"/>
      <c r="J373" s="35"/>
    </row>
    <row r="374" spans="1:10" x14ac:dyDescent="0.25">
      <c r="A374" s="28">
        <f t="shared" si="27"/>
        <v>45565</v>
      </c>
      <c r="B374" s="29">
        <f>+$B$373+1</f>
        <v>45565</v>
      </c>
      <c r="C374" s="30">
        <f t="shared" si="28"/>
        <v>45565</v>
      </c>
      <c r="D374" s="36">
        <f t="shared" si="25"/>
        <v>40</v>
      </c>
      <c r="E374" s="37">
        <v>6.5</v>
      </c>
      <c r="F374" s="38" t="s">
        <v>53</v>
      </c>
      <c r="G374" s="39" t="s">
        <v>54</v>
      </c>
      <c r="H374" s="39" t="s">
        <v>57</v>
      </c>
      <c r="I374" s="44"/>
      <c r="J374" s="35"/>
    </row>
    <row r="375" spans="1:10" x14ac:dyDescent="0.25">
      <c r="A375" s="28">
        <f t="shared" si="27"/>
        <v>45565</v>
      </c>
      <c r="B375" s="29">
        <f>+$B$373+1</f>
        <v>45565</v>
      </c>
      <c r="C375" s="30">
        <f t="shared" si="28"/>
        <v>45565</v>
      </c>
      <c r="D375" s="36">
        <f t="shared" si="25"/>
        <v>40</v>
      </c>
      <c r="E375" s="37">
        <v>2</v>
      </c>
      <c r="F375" s="38" t="s">
        <v>9</v>
      </c>
      <c r="G375" s="39" t="s">
        <v>10</v>
      </c>
      <c r="H375" s="39" t="s">
        <v>18</v>
      </c>
      <c r="I375" s="44"/>
      <c r="J375" s="35"/>
    </row>
    <row r="376" spans="1:10" x14ac:dyDescent="0.25">
      <c r="A376" s="28">
        <f t="shared" si="27"/>
        <v>45566</v>
      </c>
      <c r="B376" s="29">
        <f>+$B$374+1</f>
        <v>45566</v>
      </c>
      <c r="C376" s="30">
        <f t="shared" si="28"/>
        <v>45566</v>
      </c>
      <c r="D376" s="36">
        <f t="shared" si="25"/>
        <v>40</v>
      </c>
      <c r="E376" s="40">
        <v>7</v>
      </c>
      <c r="F376" s="41" t="s">
        <v>9</v>
      </c>
      <c r="G376" s="42" t="s">
        <v>10</v>
      </c>
      <c r="H376" s="42" t="s">
        <v>18</v>
      </c>
      <c r="I376" s="44"/>
      <c r="J376" s="35"/>
    </row>
    <row r="377" spans="1:10" x14ac:dyDescent="0.25">
      <c r="A377" s="28">
        <f t="shared" si="27"/>
        <v>45566</v>
      </c>
      <c r="B377" s="29">
        <f>+$B$374+1</f>
        <v>45566</v>
      </c>
      <c r="C377" s="30">
        <f t="shared" si="28"/>
        <v>45566</v>
      </c>
      <c r="D377" s="36">
        <f t="shared" si="25"/>
        <v>40</v>
      </c>
      <c r="E377" s="40">
        <v>1.5</v>
      </c>
      <c r="F377" s="41" t="s">
        <v>15</v>
      </c>
      <c r="G377" s="42" t="s">
        <v>16</v>
      </c>
      <c r="H377" s="42" t="s">
        <v>17</v>
      </c>
      <c r="I377" s="44"/>
      <c r="J377" s="35"/>
    </row>
    <row r="378" spans="1:10" x14ac:dyDescent="0.25">
      <c r="A378" s="28">
        <f t="shared" si="27"/>
        <v>45567</v>
      </c>
      <c r="B378" s="29">
        <f>+$B$376+1</f>
        <v>45567</v>
      </c>
      <c r="C378" s="30">
        <f t="shared" si="28"/>
        <v>45567</v>
      </c>
      <c r="D378" s="36">
        <f t="shared" si="25"/>
        <v>40</v>
      </c>
      <c r="E378" s="37">
        <v>4</v>
      </c>
      <c r="F378" s="38" t="s">
        <v>9</v>
      </c>
      <c r="G378" s="39" t="s">
        <v>10</v>
      </c>
      <c r="H378" s="39" t="s">
        <v>18</v>
      </c>
      <c r="I378" s="44"/>
      <c r="J378" s="35"/>
    </row>
    <row r="379" spans="1:10" x14ac:dyDescent="0.25">
      <c r="A379" s="28">
        <f t="shared" si="27"/>
        <v>45567</v>
      </c>
      <c r="B379" s="29">
        <f>+$B$376+1</f>
        <v>45567</v>
      </c>
      <c r="C379" s="30">
        <f t="shared" si="28"/>
        <v>45567</v>
      </c>
      <c r="D379" s="36">
        <f t="shared" si="25"/>
        <v>40</v>
      </c>
      <c r="E379" s="37">
        <v>4.5</v>
      </c>
      <c r="F379" s="38" t="s">
        <v>58</v>
      </c>
      <c r="G379" s="39" t="s">
        <v>16</v>
      </c>
      <c r="H379" s="39" t="s">
        <v>59</v>
      </c>
      <c r="I379" s="44"/>
      <c r="J379" s="35"/>
    </row>
    <row r="380" spans="1:10" x14ac:dyDescent="0.25">
      <c r="A380" s="28">
        <f t="shared" si="27"/>
        <v>45568</v>
      </c>
      <c r="B380" s="29">
        <f>+$B$378+1</f>
        <v>45568</v>
      </c>
      <c r="C380" s="30">
        <f t="shared" si="28"/>
        <v>45568</v>
      </c>
      <c r="D380" s="36">
        <f t="shared" si="25"/>
        <v>40</v>
      </c>
      <c r="E380" s="40">
        <v>3</v>
      </c>
      <c r="F380" s="41" t="s">
        <v>9</v>
      </c>
      <c r="G380" s="42" t="s">
        <v>10</v>
      </c>
      <c r="H380" s="42" t="s">
        <v>18</v>
      </c>
      <c r="I380" s="44"/>
      <c r="J380" s="35"/>
    </row>
    <row r="381" spans="1:10" x14ac:dyDescent="0.25">
      <c r="A381" s="28">
        <f t="shared" si="27"/>
        <v>45568</v>
      </c>
      <c r="B381" s="29">
        <f>+$B$378+1</f>
        <v>45568</v>
      </c>
      <c r="C381" s="30">
        <f t="shared" si="28"/>
        <v>45568</v>
      </c>
      <c r="D381" s="36">
        <f t="shared" si="25"/>
        <v>40</v>
      </c>
      <c r="E381" s="40">
        <v>4</v>
      </c>
      <c r="F381" s="41" t="s">
        <v>6</v>
      </c>
      <c r="G381" s="42" t="s">
        <v>26</v>
      </c>
      <c r="H381" s="42" t="s">
        <v>40</v>
      </c>
      <c r="I381" s="44"/>
      <c r="J381" s="35"/>
    </row>
    <row r="382" spans="1:10" x14ac:dyDescent="0.25">
      <c r="A382" s="28">
        <f t="shared" si="27"/>
        <v>45568</v>
      </c>
      <c r="B382" s="29">
        <f>+$B$378+1</f>
        <v>45568</v>
      </c>
      <c r="C382" s="30">
        <f t="shared" si="28"/>
        <v>45568</v>
      </c>
      <c r="D382" s="36">
        <f t="shared" si="25"/>
        <v>40</v>
      </c>
      <c r="E382" s="40">
        <v>1.5</v>
      </c>
      <c r="F382" s="41" t="s">
        <v>15</v>
      </c>
      <c r="G382" s="42" t="s">
        <v>16</v>
      </c>
      <c r="H382" s="42" t="s">
        <v>17</v>
      </c>
      <c r="I382" s="44"/>
      <c r="J382" s="35"/>
    </row>
    <row r="383" spans="1:10" x14ac:dyDescent="0.25">
      <c r="A383" s="28">
        <f t="shared" si="27"/>
        <v>45569</v>
      </c>
      <c r="B383" s="29">
        <f>+$B$380+1</f>
        <v>45569</v>
      </c>
      <c r="C383" s="30">
        <f t="shared" si="28"/>
        <v>45569</v>
      </c>
      <c r="D383" s="36">
        <f t="shared" si="25"/>
        <v>40</v>
      </c>
      <c r="E383" s="37">
        <v>3</v>
      </c>
      <c r="F383" s="38" t="s">
        <v>6</v>
      </c>
      <c r="G383" s="39" t="s">
        <v>26</v>
      </c>
      <c r="H383" s="39" t="s">
        <v>40</v>
      </c>
      <c r="I383" s="44"/>
      <c r="J383" s="35"/>
    </row>
    <row r="384" spans="1:10" x14ac:dyDescent="0.25">
      <c r="A384" s="28">
        <f t="shared" si="27"/>
        <v>45569</v>
      </c>
      <c r="B384" s="29">
        <f>+$B$380+1</f>
        <v>45569</v>
      </c>
      <c r="C384" s="30">
        <f t="shared" si="28"/>
        <v>45569</v>
      </c>
      <c r="D384" s="36">
        <f t="shared" si="25"/>
        <v>40</v>
      </c>
      <c r="E384" s="37">
        <v>3</v>
      </c>
      <c r="F384" s="38" t="s">
        <v>53</v>
      </c>
      <c r="G384" s="39" t="s">
        <v>54</v>
      </c>
      <c r="H384" s="39" t="s">
        <v>60</v>
      </c>
      <c r="I384" s="44"/>
      <c r="J384" s="35">
        <f>SUM(E374:E384)</f>
        <v>40</v>
      </c>
    </row>
    <row r="385" spans="1:10" x14ac:dyDescent="0.25">
      <c r="A385" s="28">
        <f t="shared" si="27"/>
        <v>45570</v>
      </c>
      <c r="B385" s="29">
        <f>+B383+1</f>
        <v>45570</v>
      </c>
      <c r="C385" s="30">
        <f t="shared" si="28"/>
        <v>45570</v>
      </c>
      <c r="D385" s="36">
        <f t="shared" si="25"/>
        <v>40</v>
      </c>
      <c r="E385" s="37"/>
      <c r="F385" s="38"/>
      <c r="G385" s="39"/>
      <c r="H385" s="39"/>
      <c r="I385" s="44"/>
      <c r="J385" s="35"/>
    </row>
    <row r="386" spans="1:10" x14ac:dyDescent="0.25">
      <c r="A386" s="28">
        <f t="shared" si="27"/>
        <v>45571</v>
      </c>
      <c r="B386" s="29">
        <f t="shared" si="26"/>
        <v>45571</v>
      </c>
      <c r="C386" s="30">
        <f t="shared" si="28"/>
        <v>45571</v>
      </c>
      <c r="D386" s="36">
        <f t="shared" si="25"/>
        <v>41</v>
      </c>
      <c r="E386" s="32"/>
      <c r="F386" s="33"/>
      <c r="G386" s="34"/>
      <c r="H386" s="34"/>
      <c r="I386" s="44"/>
      <c r="J386" s="35"/>
    </row>
    <row r="387" spans="1:10" x14ac:dyDescent="0.25">
      <c r="A387" s="28">
        <f t="shared" si="27"/>
        <v>45572</v>
      </c>
      <c r="B387" s="29">
        <f>+$B$386+1</f>
        <v>45572</v>
      </c>
      <c r="C387" s="30">
        <f t="shared" si="28"/>
        <v>45572</v>
      </c>
      <c r="D387" s="36">
        <f t="shared" si="25"/>
        <v>41</v>
      </c>
      <c r="E387" s="37">
        <v>6.5</v>
      </c>
      <c r="F387" s="38" t="s">
        <v>9</v>
      </c>
      <c r="G387" s="39" t="s">
        <v>10</v>
      </c>
      <c r="H387" s="39" t="s">
        <v>18</v>
      </c>
      <c r="I387" s="44"/>
      <c r="J387" s="35"/>
    </row>
    <row r="388" spans="1:10" x14ac:dyDescent="0.25">
      <c r="A388" s="28">
        <f t="shared" si="27"/>
        <v>45572</v>
      </c>
      <c r="B388" s="29">
        <f>+$B$386+1</f>
        <v>45572</v>
      </c>
      <c r="C388" s="30">
        <f t="shared" si="28"/>
        <v>45572</v>
      </c>
      <c r="D388" s="36">
        <f t="shared" ref="D388:D451" si="29">WEEKNUM(A388)</f>
        <v>41</v>
      </c>
      <c r="E388" s="37">
        <v>2</v>
      </c>
      <c r="F388" s="38" t="s">
        <v>58</v>
      </c>
      <c r="G388" s="39" t="s">
        <v>16</v>
      </c>
      <c r="H388" s="39" t="s">
        <v>59</v>
      </c>
      <c r="I388" s="44"/>
      <c r="J388" s="35"/>
    </row>
    <row r="389" spans="1:10" x14ac:dyDescent="0.25">
      <c r="A389" s="28">
        <f t="shared" si="27"/>
        <v>45573</v>
      </c>
      <c r="B389" s="29">
        <f>+$B$387+1</f>
        <v>45573</v>
      </c>
      <c r="C389" s="30">
        <f t="shared" si="28"/>
        <v>45573</v>
      </c>
      <c r="D389" s="36">
        <f t="shared" si="29"/>
        <v>41</v>
      </c>
      <c r="E389" s="40">
        <v>8.5</v>
      </c>
      <c r="F389" s="41" t="s">
        <v>58</v>
      </c>
      <c r="G389" s="42" t="s">
        <v>16</v>
      </c>
      <c r="H389" s="42" t="s">
        <v>61</v>
      </c>
      <c r="I389" s="44"/>
      <c r="J389" s="35"/>
    </row>
    <row r="390" spans="1:10" x14ac:dyDescent="0.25">
      <c r="A390" s="28">
        <f t="shared" si="27"/>
        <v>45573</v>
      </c>
      <c r="B390" s="29">
        <f>+$B$387+1</f>
        <v>45573</v>
      </c>
      <c r="C390" s="30">
        <f t="shared" si="28"/>
        <v>45573</v>
      </c>
      <c r="D390" s="36">
        <f t="shared" si="29"/>
        <v>41</v>
      </c>
      <c r="E390" s="47">
        <v>0</v>
      </c>
      <c r="F390" s="48" t="s">
        <v>15</v>
      </c>
      <c r="G390" s="49" t="s">
        <v>16</v>
      </c>
      <c r="H390" s="49" t="s">
        <v>17</v>
      </c>
      <c r="I390" s="44"/>
      <c r="J390" s="35"/>
    </row>
    <row r="391" spans="1:10" x14ac:dyDescent="0.25">
      <c r="A391" s="28">
        <f t="shared" si="27"/>
        <v>45574</v>
      </c>
      <c r="B391" s="29">
        <f>+B389+1</f>
        <v>45574</v>
      </c>
      <c r="C391" s="30">
        <f t="shared" si="28"/>
        <v>45574</v>
      </c>
      <c r="D391" s="36">
        <f t="shared" si="29"/>
        <v>41</v>
      </c>
      <c r="E391" s="37">
        <v>8.5</v>
      </c>
      <c r="F391" s="38" t="s">
        <v>58</v>
      </c>
      <c r="G391" s="39" t="s">
        <v>16</v>
      </c>
      <c r="H391" s="39" t="s">
        <v>61</v>
      </c>
      <c r="I391" s="44"/>
      <c r="J391" s="35"/>
    </row>
    <row r="392" spans="1:10" x14ac:dyDescent="0.25">
      <c r="A392" s="28">
        <f t="shared" si="27"/>
        <v>45575</v>
      </c>
      <c r="B392" s="29">
        <f>+$B$391+1</f>
        <v>45575</v>
      </c>
      <c r="C392" s="30">
        <f t="shared" si="28"/>
        <v>45575</v>
      </c>
      <c r="D392" s="36">
        <f t="shared" si="29"/>
        <v>41</v>
      </c>
      <c r="E392" s="40">
        <v>3</v>
      </c>
      <c r="F392" s="41" t="s">
        <v>15</v>
      </c>
      <c r="G392" s="42" t="s">
        <v>19</v>
      </c>
      <c r="H392" s="42" t="s">
        <v>62</v>
      </c>
      <c r="I392" s="44"/>
      <c r="J392" s="35"/>
    </row>
    <row r="393" spans="1:10" x14ac:dyDescent="0.25">
      <c r="A393" s="28">
        <f t="shared" si="27"/>
        <v>45575</v>
      </c>
      <c r="B393" s="29">
        <f>+$B$391+1</f>
        <v>45575</v>
      </c>
      <c r="C393" s="30">
        <f t="shared" si="28"/>
        <v>45575</v>
      </c>
      <c r="D393" s="36">
        <f t="shared" si="29"/>
        <v>41</v>
      </c>
      <c r="E393" s="40">
        <v>1.5</v>
      </c>
      <c r="F393" s="41" t="s">
        <v>15</v>
      </c>
      <c r="G393" s="42" t="s">
        <v>16</v>
      </c>
      <c r="H393" s="42" t="s">
        <v>17</v>
      </c>
      <c r="I393" s="44"/>
      <c r="J393" s="35"/>
    </row>
    <row r="394" spans="1:10" x14ac:dyDescent="0.25">
      <c r="A394" s="28">
        <f t="shared" si="27"/>
        <v>45575</v>
      </c>
      <c r="B394" s="29">
        <f>+$B$391+1</f>
        <v>45575</v>
      </c>
      <c r="C394" s="30">
        <f t="shared" si="28"/>
        <v>45575</v>
      </c>
      <c r="D394" s="36">
        <f t="shared" si="29"/>
        <v>41</v>
      </c>
      <c r="E394" s="40">
        <v>4</v>
      </c>
      <c r="F394" s="41" t="s">
        <v>9</v>
      </c>
      <c r="G394" s="42" t="s">
        <v>10</v>
      </c>
      <c r="H394" s="42" t="s">
        <v>18</v>
      </c>
      <c r="I394" s="44"/>
      <c r="J394" s="35"/>
    </row>
    <row r="395" spans="1:10" x14ac:dyDescent="0.25">
      <c r="A395" s="28">
        <f t="shared" si="27"/>
        <v>45576</v>
      </c>
      <c r="B395" s="29">
        <f>+$B$392+1</f>
        <v>45576</v>
      </c>
      <c r="C395" s="30">
        <f t="shared" si="28"/>
        <v>45576</v>
      </c>
      <c r="D395" s="36">
        <f t="shared" si="29"/>
        <v>41</v>
      </c>
      <c r="E395" s="37">
        <v>4</v>
      </c>
      <c r="F395" s="38" t="s">
        <v>9</v>
      </c>
      <c r="G395" s="39" t="s">
        <v>10</v>
      </c>
      <c r="H395" s="39" t="s">
        <v>18</v>
      </c>
      <c r="I395" s="44"/>
      <c r="J395" s="35"/>
    </row>
    <row r="396" spans="1:10" x14ac:dyDescent="0.25">
      <c r="A396" s="28">
        <f t="shared" si="27"/>
        <v>45576</v>
      </c>
      <c r="B396" s="29">
        <f>+$B$392+1</f>
        <v>45576</v>
      </c>
      <c r="C396" s="30">
        <f t="shared" si="28"/>
        <v>45576</v>
      </c>
      <c r="D396" s="36">
        <f t="shared" si="29"/>
        <v>41</v>
      </c>
      <c r="E396" s="37">
        <v>2</v>
      </c>
      <c r="F396" s="38" t="s">
        <v>15</v>
      </c>
      <c r="G396" s="39" t="s">
        <v>19</v>
      </c>
      <c r="H396" s="39" t="s">
        <v>62</v>
      </c>
      <c r="I396" s="44"/>
      <c r="J396" s="35">
        <f>SUM(E387:E396)</f>
        <v>40</v>
      </c>
    </row>
    <row r="397" spans="1:10" x14ac:dyDescent="0.25">
      <c r="A397" s="28">
        <f t="shared" si="27"/>
        <v>45577</v>
      </c>
      <c r="B397" s="29">
        <f>+B395+1</f>
        <v>45577</v>
      </c>
      <c r="C397" s="30">
        <f t="shared" si="28"/>
        <v>45577</v>
      </c>
      <c r="D397" s="36">
        <f t="shared" si="29"/>
        <v>41</v>
      </c>
      <c r="E397" s="40"/>
      <c r="F397" s="41"/>
      <c r="G397" s="42"/>
      <c r="H397" s="42"/>
      <c r="I397" s="44"/>
      <c r="J397" s="35"/>
    </row>
    <row r="398" spans="1:10" x14ac:dyDescent="0.25">
      <c r="A398" s="28">
        <f t="shared" si="27"/>
        <v>45578</v>
      </c>
      <c r="B398" s="29">
        <f t="shared" ref="B398:B455" si="30">+B397+1</f>
        <v>45578</v>
      </c>
      <c r="C398" s="30">
        <f t="shared" si="28"/>
        <v>45578</v>
      </c>
      <c r="D398" s="36">
        <f t="shared" si="29"/>
        <v>42</v>
      </c>
      <c r="E398" s="37"/>
      <c r="F398" s="38"/>
      <c r="G398" s="39"/>
      <c r="H398" s="39"/>
      <c r="I398" s="44"/>
      <c r="J398" s="35"/>
    </row>
    <row r="399" spans="1:10" x14ac:dyDescent="0.25">
      <c r="A399" s="28">
        <f t="shared" si="27"/>
        <v>45579</v>
      </c>
      <c r="B399" s="29">
        <f t="shared" si="30"/>
        <v>45579</v>
      </c>
      <c r="C399" s="30">
        <f t="shared" si="28"/>
        <v>45579</v>
      </c>
      <c r="D399" s="36">
        <f t="shared" si="29"/>
        <v>42</v>
      </c>
      <c r="E399" s="37">
        <v>8.5</v>
      </c>
      <c r="F399" s="38" t="s">
        <v>9</v>
      </c>
      <c r="G399" s="39" t="s">
        <v>10</v>
      </c>
      <c r="H399" s="39" t="s">
        <v>18</v>
      </c>
      <c r="I399" s="44"/>
      <c r="J399" s="35"/>
    </row>
    <row r="400" spans="1:10" x14ac:dyDescent="0.25">
      <c r="A400" s="28">
        <f t="shared" si="27"/>
        <v>45580</v>
      </c>
      <c r="B400" s="29">
        <f>+$B$399+1</f>
        <v>45580</v>
      </c>
      <c r="C400" s="30">
        <f t="shared" si="28"/>
        <v>45580</v>
      </c>
      <c r="D400" s="36">
        <f t="shared" si="29"/>
        <v>42</v>
      </c>
      <c r="E400" s="40">
        <v>1.5</v>
      </c>
      <c r="F400" s="41" t="s">
        <v>15</v>
      </c>
      <c r="G400" s="42" t="s">
        <v>16</v>
      </c>
      <c r="H400" s="42" t="s">
        <v>17</v>
      </c>
      <c r="I400" s="44"/>
      <c r="J400" s="35"/>
    </row>
    <row r="401" spans="1:10" x14ac:dyDescent="0.25">
      <c r="A401" s="28">
        <f t="shared" si="27"/>
        <v>45580</v>
      </c>
      <c r="B401" s="29">
        <f>+$B$399+1</f>
        <v>45580</v>
      </c>
      <c r="C401" s="30">
        <f t="shared" si="28"/>
        <v>45580</v>
      </c>
      <c r="D401" s="36">
        <f t="shared" si="29"/>
        <v>42</v>
      </c>
      <c r="E401" s="40">
        <v>7</v>
      </c>
      <c r="F401" s="41" t="s">
        <v>9</v>
      </c>
      <c r="G401" s="42" t="s">
        <v>10</v>
      </c>
      <c r="H401" s="42" t="s">
        <v>18</v>
      </c>
      <c r="I401" s="44"/>
      <c r="J401" s="35"/>
    </row>
    <row r="402" spans="1:10" x14ac:dyDescent="0.25">
      <c r="A402" s="28">
        <f t="shared" si="27"/>
        <v>45581</v>
      </c>
      <c r="B402" s="29">
        <f>+$B$400+1</f>
        <v>45581</v>
      </c>
      <c r="C402" s="30">
        <f t="shared" si="28"/>
        <v>45581</v>
      </c>
      <c r="D402" s="36">
        <f t="shared" si="29"/>
        <v>42</v>
      </c>
      <c r="E402" s="37">
        <v>3</v>
      </c>
      <c r="F402" s="38" t="s">
        <v>63</v>
      </c>
      <c r="G402" s="39" t="s">
        <v>54</v>
      </c>
      <c r="H402" s="39" t="s">
        <v>64</v>
      </c>
      <c r="I402" s="44"/>
      <c r="J402" s="35"/>
    </row>
    <row r="403" spans="1:10" x14ac:dyDescent="0.25">
      <c r="A403" s="28">
        <f t="shared" si="27"/>
        <v>45581</v>
      </c>
      <c r="B403" s="29">
        <f>+$B$400+1</f>
        <v>45581</v>
      </c>
      <c r="C403" s="30">
        <f t="shared" si="28"/>
        <v>45581</v>
      </c>
      <c r="D403" s="36">
        <f t="shared" si="29"/>
        <v>42</v>
      </c>
      <c r="E403" s="37">
        <v>2</v>
      </c>
      <c r="F403" s="38" t="s">
        <v>65</v>
      </c>
      <c r="G403" s="39" t="s">
        <v>54</v>
      </c>
      <c r="H403" s="39" t="s">
        <v>66</v>
      </c>
      <c r="I403" s="44"/>
      <c r="J403" s="35"/>
    </row>
    <row r="404" spans="1:10" x14ac:dyDescent="0.25">
      <c r="A404" s="28">
        <f t="shared" si="27"/>
        <v>45581</v>
      </c>
      <c r="B404" s="29">
        <f>+$B$400+1</f>
        <v>45581</v>
      </c>
      <c r="C404" s="30">
        <f t="shared" si="28"/>
        <v>45581</v>
      </c>
      <c r="D404" s="36">
        <f t="shared" si="29"/>
        <v>42</v>
      </c>
      <c r="E404" s="37">
        <v>3.5</v>
      </c>
      <c r="F404" s="38" t="s">
        <v>9</v>
      </c>
      <c r="G404" s="39" t="s">
        <v>10</v>
      </c>
      <c r="H404" s="39" t="s">
        <v>18</v>
      </c>
      <c r="I404" s="44"/>
      <c r="J404" s="35"/>
    </row>
    <row r="405" spans="1:10" x14ac:dyDescent="0.25">
      <c r="A405" s="28">
        <f t="shared" si="27"/>
        <v>45582</v>
      </c>
      <c r="B405" s="29">
        <f>+$B$402+1</f>
        <v>45582</v>
      </c>
      <c r="C405" s="30">
        <f t="shared" si="28"/>
        <v>45582</v>
      </c>
      <c r="D405" s="36">
        <f t="shared" si="29"/>
        <v>42</v>
      </c>
      <c r="E405" s="47">
        <v>0</v>
      </c>
      <c r="F405" s="48" t="s">
        <v>15</v>
      </c>
      <c r="G405" s="49" t="s">
        <v>16</v>
      </c>
      <c r="H405" s="49" t="s">
        <v>17</v>
      </c>
      <c r="I405" s="44"/>
      <c r="J405" s="35"/>
    </row>
    <row r="406" spans="1:10" x14ac:dyDescent="0.25">
      <c r="A406" s="28">
        <f t="shared" si="27"/>
        <v>45582</v>
      </c>
      <c r="B406" s="29">
        <f>+$B$402+1</f>
        <v>45582</v>
      </c>
      <c r="C406" s="30">
        <f t="shared" si="28"/>
        <v>45582</v>
      </c>
      <c r="D406" s="36">
        <f t="shared" si="29"/>
        <v>42</v>
      </c>
      <c r="E406" s="40">
        <v>8.5</v>
      </c>
      <c r="F406" s="41" t="s">
        <v>9</v>
      </c>
      <c r="G406" s="42" t="s">
        <v>10</v>
      </c>
      <c r="H406" s="42" t="s">
        <v>18</v>
      </c>
      <c r="I406" s="44"/>
      <c r="J406" s="35"/>
    </row>
    <row r="407" spans="1:10" x14ac:dyDescent="0.25">
      <c r="A407" s="28">
        <f t="shared" si="27"/>
        <v>45583</v>
      </c>
      <c r="B407" s="29">
        <f>+$B$405+1</f>
        <v>45583</v>
      </c>
      <c r="C407" s="30">
        <f t="shared" si="28"/>
        <v>45583</v>
      </c>
      <c r="D407" s="36">
        <f t="shared" si="29"/>
        <v>42</v>
      </c>
      <c r="E407" s="37">
        <v>2</v>
      </c>
      <c r="F407" s="38" t="s">
        <v>67</v>
      </c>
      <c r="G407" s="39" t="s">
        <v>68</v>
      </c>
      <c r="H407" s="39" t="s">
        <v>69</v>
      </c>
      <c r="I407" s="44"/>
      <c r="J407" s="35"/>
    </row>
    <row r="408" spans="1:10" x14ac:dyDescent="0.25">
      <c r="A408" s="28">
        <f t="shared" si="27"/>
        <v>45583</v>
      </c>
      <c r="B408" s="29">
        <f>+$B$405+1</f>
        <v>45583</v>
      </c>
      <c r="C408" s="30">
        <f t="shared" si="28"/>
        <v>45583</v>
      </c>
      <c r="D408" s="36">
        <f t="shared" si="29"/>
        <v>42</v>
      </c>
      <c r="E408" s="37">
        <v>4</v>
      </c>
      <c r="F408" s="38" t="s">
        <v>9</v>
      </c>
      <c r="G408" s="39" t="s">
        <v>10</v>
      </c>
      <c r="H408" s="39" t="s">
        <v>18</v>
      </c>
      <c r="I408" s="44"/>
      <c r="J408" s="35">
        <f>SUBTOTAL(9,E399:E408)</f>
        <v>40</v>
      </c>
    </row>
    <row r="409" spans="1:10" x14ac:dyDescent="0.25">
      <c r="A409" s="28">
        <f t="shared" si="27"/>
        <v>45584</v>
      </c>
      <c r="B409" s="29">
        <f>+B407+1</f>
        <v>45584</v>
      </c>
      <c r="C409" s="30">
        <f t="shared" si="28"/>
        <v>45584</v>
      </c>
      <c r="D409" s="36">
        <f t="shared" si="29"/>
        <v>42</v>
      </c>
      <c r="E409" s="37"/>
      <c r="F409" s="38"/>
      <c r="G409" s="39"/>
      <c r="H409" s="39"/>
      <c r="I409" s="44"/>
      <c r="J409" s="35"/>
    </row>
    <row r="410" spans="1:10" x14ac:dyDescent="0.25">
      <c r="A410" s="28">
        <f t="shared" si="27"/>
        <v>45585</v>
      </c>
      <c r="B410" s="29">
        <f t="shared" si="30"/>
        <v>45585</v>
      </c>
      <c r="C410" s="30">
        <f t="shared" si="28"/>
        <v>45585</v>
      </c>
      <c r="D410" s="36">
        <f t="shared" si="29"/>
        <v>43</v>
      </c>
      <c r="E410" s="40"/>
      <c r="F410" s="41"/>
      <c r="G410" s="42"/>
      <c r="H410" s="42"/>
      <c r="I410" s="44"/>
      <c r="J410" s="35"/>
    </row>
    <row r="411" spans="1:10" x14ac:dyDescent="0.25">
      <c r="A411" s="28">
        <f t="shared" si="27"/>
        <v>45586</v>
      </c>
      <c r="B411" s="29">
        <f t="shared" si="30"/>
        <v>45586</v>
      </c>
      <c r="C411" s="30">
        <f t="shared" si="28"/>
        <v>45586</v>
      </c>
      <c r="D411" s="36">
        <f t="shared" si="29"/>
        <v>43</v>
      </c>
      <c r="E411" s="37">
        <v>8.5</v>
      </c>
      <c r="F411" s="38" t="s">
        <v>9</v>
      </c>
      <c r="G411" s="39" t="s">
        <v>10</v>
      </c>
      <c r="H411" s="39" t="s">
        <v>18</v>
      </c>
      <c r="I411" s="44"/>
      <c r="J411" s="35"/>
    </row>
    <row r="412" spans="1:10" x14ac:dyDescent="0.25">
      <c r="A412" s="28">
        <f t="shared" si="27"/>
        <v>45587</v>
      </c>
      <c r="B412" s="29">
        <f>+$B$411+1</f>
        <v>45587</v>
      </c>
      <c r="C412" s="30">
        <f t="shared" si="28"/>
        <v>45587</v>
      </c>
      <c r="D412" s="36">
        <f t="shared" si="29"/>
        <v>43</v>
      </c>
      <c r="E412" s="40">
        <v>1.5</v>
      </c>
      <c r="F412" s="41" t="s">
        <v>15</v>
      </c>
      <c r="G412" s="42" t="s">
        <v>16</v>
      </c>
      <c r="H412" s="42" t="s">
        <v>17</v>
      </c>
      <c r="I412" s="44"/>
      <c r="J412" s="35"/>
    </row>
    <row r="413" spans="1:10" x14ac:dyDescent="0.25">
      <c r="A413" s="28">
        <f t="shared" si="27"/>
        <v>45587</v>
      </c>
      <c r="B413" s="29">
        <f>+$B$411+1</f>
        <v>45587</v>
      </c>
      <c r="C413" s="30">
        <f t="shared" si="28"/>
        <v>45587</v>
      </c>
      <c r="D413" s="36">
        <f t="shared" si="29"/>
        <v>43</v>
      </c>
      <c r="E413" s="40">
        <v>7</v>
      </c>
      <c r="F413" s="41" t="s">
        <v>9</v>
      </c>
      <c r="G413" s="42" t="s">
        <v>10</v>
      </c>
      <c r="H413" s="42" t="s">
        <v>18</v>
      </c>
      <c r="I413" s="44"/>
      <c r="J413" s="35"/>
    </row>
    <row r="414" spans="1:10" x14ac:dyDescent="0.25">
      <c r="A414" s="28">
        <f t="shared" si="27"/>
        <v>45588</v>
      </c>
      <c r="B414" s="29">
        <f>+B412+1</f>
        <v>45588</v>
      </c>
      <c r="C414" s="30">
        <f t="shared" si="28"/>
        <v>45588</v>
      </c>
      <c r="D414" s="36">
        <f t="shared" si="29"/>
        <v>43</v>
      </c>
      <c r="E414" s="37">
        <v>8.5</v>
      </c>
      <c r="F414" s="38" t="s">
        <v>9</v>
      </c>
      <c r="G414" s="39" t="s">
        <v>10</v>
      </c>
      <c r="H414" s="39" t="s">
        <v>18</v>
      </c>
      <c r="I414" s="44"/>
      <c r="J414" s="35"/>
    </row>
    <row r="415" spans="1:10" x14ac:dyDescent="0.25">
      <c r="A415" s="28">
        <f t="shared" si="27"/>
        <v>45589</v>
      </c>
      <c r="B415" s="29">
        <f>+$B$414+1</f>
        <v>45589</v>
      </c>
      <c r="C415" s="30">
        <f t="shared" si="28"/>
        <v>45589</v>
      </c>
      <c r="D415" s="36">
        <f t="shared" si="29"/>
        <v>43</v>
      </c>
      <c r="E415" s="40">
        <v>1.5</v>
      </c>
      <c r="F415" s="41" t="s">
        <v>15</v>
      </c>
      <c r="G415" s="42" t="s">
        <v>16</v>
      </c>
      <c r="H415" s="42" t="s">
        <v>17</v>
      </c>
      <c r="I415" s="44"/>
      <c r="J415" s="35"/>
    </row>
    <row r="416" spans="1:10" x14ac:dyDescent="0.25">
      <c r="A416" s="28">
        <f t="shared" si="27"/>
        <v>45589</v>
      </c>
      <c r="B416" s="29">
        <f>+$B$414+1</f>
        <v>45589</v>
      </c>
      <c r="C416" s="30">
        <f t="shared" si="28"/>
        <v>45589</v>
      </c>
      <c r="D416" s="36">
        <f t="shared" si="29"/>
        <v>43</v>
      </c>
      <c r="E416" s="40">
        <v>2</v>
      </c>
      <c r="F416" s="41" t="s">
        <v>34</v>
      </c>
      <c r="G416" s="42" t="s">
        <v>35</v>
      </c>
      <c r="H416" s="42" t="s">
        <v>70</v>
      </c>
      <c r="I416" s="44"/>
      <c r="J416" s="35"/>
    </row>
    <row r="417" spans="1:10" x14ac:dyDescent="0.25">
      <c r="A417" s="28">
        <f t="shared" si="27"/>
        <v>45589</v>
      </c>
      <c r="B417" s="29">
        <f>+$B$414+1</f>
        <v>45589</v>
      </c>
      <c r="C417" s="30">
        <f t="shared" si="28"/>
        <v>45589</v>
      </c>
      <c r="D417" s="36">
        <f t="shared" si="29"/>
        <v>43</v>
      </c>
      <c r="E417" s="40">
        <v>3.5</v>
      </c>
      <c r="F417" s="41" t="s">
        <v>9</v>
      </c>
      <c r="G417" s="42" t="s">
        <v>10</v>
      </c>
      <c r="H417" s="42" t="s">
        <v>18</v>
      </c>
      <c r="I417" s="44"/>
      <c r="J417" s="35"/>
    </row>
    <row r="418" spans="1:10" x14ac:dyDescent="0.25">
      <c r="A418" s="28">
        <f t="shared" si="27"/>
        <v>45589</v>
      </c>
      <c r="B418" s="29">
        <f>+$B$414+1</f>
        <v>45589</v>
      </c>
      <c r="C418" s="30">
        <f t="shared" si="28"/>
        <v>45589</v>
      </c>
      <c r="D418" s="36">
        <f t="shared" si="29"/>
        <v>43</v>
      </c>
      <c r="E418" s="40">
        <v>1.5</v>
      </c>
      <c r="F418" s="41" t="s">
        <v>15</v>
      </c>
      <c r="G418" s="39" t="s">
        <v>19</v>
      </c>
      <c r="H418" s="39" t="s">
        <v>20</v>
      </c>
      <c r="I418" s="44"/>
      <c r="J418" s="35"/>
    </row>
    <row r="419" spans="1:10" x14ac:dyDescent="0.25">
      <c r="A419" s="28">
        <f t="shared" si="27"/>
        <v>45590</v>
      </c>
      <c r="B419" s="29">
        <f>+$B$415+1</f>
        <v>45590</v>
      </c>
      <c r="C419" s="30">
        <f t="shared" si="28"/>
        <v>45590</v>
      </c>
      <c r="D419" s="36">
        <f t="shared" si="29"/>
        <v>43</v>
      </c>
      <c r="E419" s="37">
        <v>4</v>
      </c>
      <c r="F419" s="38" t="s">
        <v>34</v>
      </c>
      <c r="G419" s="39" t="s">
        <v>35</v>
      </c>
      <c r="H419" s="39" t="s">
        <v>70</v>
      </c>
      <c r="I419" s="44"/>
      <c r="J419" s="35"/>
    </row>
    <row r="420" spans="1:10" x14ac:dyDescent="0.25">
      <c r="A420" s="28">
        <f t="shared" si="27"/>
        <v>45590</v>
      </c>
      <c r="B420" s="29">
        <f>+$B$415+1</f>
        <v>45590</v>
      </c>
      <c r="C420" s="30">
        <f t="shared" si="28"/>
        <v>45590</v>
      </c>
      <c r="D420" s="36">
        <f t="shared" si="29"/>
        <v>43</v>
      </c>
      <c r="E420" s="37">
        <v>2</v>
      </c>
      <c r="F420" s="38" t="s">
        <v>9</v>
      </c>
      <c r="G420" s="39" t="s">
        <v>10</v>
      </c>
      <c r="H420" s="39" t="s">
        <v>18</v>
      </c>
      <c r="I420" s="44"/>
      <c r="J420" s="35">
        <f>SUM(E411:E420)</f>
        <v>40</v>
      </c>
    </row>
    <row r="421" spans="1:10" x14ac:dyDescent="0.25">
      <c r="A421" s="28">
        <f t="shared" si="27"/>
        <v>45591</v>
      </c>
      <c r="B421" s="29">
        <f>+B419+1</f>
        <v>45591</v>
      </c>
      <c r="C421" s="30">
        <f t="shared" si="28"/>
        <v>45591</v>
      </c>
      <c r="D421" s="36">
        <f t="shared" si="29"/>
        <v>43</v>
      </c>
      <c r="E421" s="37"/>
      <c r="F421" s="38"/>
      <c r="G421" s="39"/>
      <c r="H421" s="39"/>
      <c r="I421" s="44"/>
      <c r="J421" s="35"/>
    </row>
    <row r="422" spans="1:10" x14ac:dyDescent="0.25">
      <c r="A422" s="28">
        <f t="shared" si="27"/>
        <v>45592</v>
      </c>
      <c r="B422" s="29">
        <f t="shared" si="30"/>
        <v>45592</v>
      </c>
      <c r="C422" s="30">
        <f t="shared" si="28"/>
        <v>45592</v>
      </c>
      <c r="D422" s="36">
        <f t="shared" si="29"/>
        <v>44</v>
      </c>
      <c r="E422" s="32"/>
      <c r="F422" s="33"/>
      <c r="G422" s="34"/>
      <c r="H422" s="34"/>
      <c r="I422" s="44"/>
      <c r="J422" s="35"/>
    </row>
    <row r="423" spans="1:10" x14ac:dyDescent="0.25">
      <c r="A423" s="28">
        <f t="shared" si="27"/>
        <v>45593</v>
      </c>
      <c r="B423" s="29">
        <f>+$B$422+1</f>
        <v>45593</v>
      </c>
      <c r="C423" s="30">
        <f t="shared" si="28"/>
        <v>45593</v>
      </c>
      <c r="D423" s="36">
        <f t="shared" si="29"/>
        <v>44</v>
      </c>
      <c r="E423" s="37">
        <v>1</v>
      </c>
      <c r="F423" s="38" t="s">
        <v>34</v>
      </c>
      <c r="G423" s="39" t="s">
        <v>35</v>
      </c>
      <c r="H423" s="39" t="s">
        <v>71</v>
      </c>
      <c r="I423" s="44"/>
      <c r="J423" s="35"/>
    </row>
    <row r="424" spans="1:10" x14ac:dyDescent="0.25">
      <c r="A424" s="28">
        <f t="shared" si="27"/>
        <v>45593</v>
      </c>
      <c r="B424" s="29">
        <f>+$B$422+1</f>
        <v>45593</v>
      </c>
      <c r="C424" s="30">
        <f t="shared" si="28"/>
        <v>45593</v>
      </c>
      <c r="D424" s="36">
        <f t="shared" si="29"/>
        <v>44</v>
      </c>
      <c r="E424" s="37">
        <v>5.5</v>
      </c>
      <c r="F424" s="38" t="s">
        <v>23</v>
      </c>
      <c r="G424" s="39" t="s">
        <v>24</v>
      </c>
      <c r="H424" s="39" t="s">
        <v>43</v>
      </c>
      <c r="I424" s="44"/>
      <c r="J424" s="35"/>
    </row>
    <row r="425" spans="1:10" x14ac:dyDescent="0.25">
      <c r="A425" s="28">
        <f t="shared" si="27"/>
        <v>45593</v>
      </c>
      <c r="B425" s="29">
        <f>+$B$422+1</f>
        <v>45593</v>
      </c>
      <c r="C425" s="30">
        <f t="shared" si="28"/>
        <v>45593</v>
      </c>
      <c r="D425" s="36">
        <f t="shared" si="29"/>
        <v>44</v>
      </c>
      <c r="E425" s="37">
        <v>2</v>
      </c>
      <c r="F425" s="38" t="s">
        <v>9</v>
      </c>
      <c r="G425" s="39" t="s">
        <v>10</v>
      </c>
      <c r="H425" s="39" t="s">
        <v>18</v>
      </c>
      <c r="I425" s="44"/>
      <c r="J425" s="35"/>
    </row>
    <row r="426" spans="1:10" x14ac:dyDescent="0.25">
      <c r="A426" s="28">
        <f t="shared" si="27"/>
        <v>45594</v>
      </c>
      <c r="B426" s="29">
        <f>+$B$423+1</f>
        <v>45594</v>
      </c>
      <c r="C426" s="30">
        <f t="shared" si="28"/>
        <v>45594</v>
      </c>
      <c r="D426" s="36">
        <f t="shared" si="29"/>
        <v>44</v>
      </c>
      <c r="E426" s="40">
        <v>1.5</v>
      </c>
      <c r="F426" s="41" t="s">
        <v>15</v>
      </c>
      <c r="G426" s="42" t="s">
        <v>16</v>
      </c>
      <c r="H426" s="42" t="s">
        <v>17</v>
      </c>
      <c r="I426" s="44"/>
      <c r="J426" s="35"/>
    </row>
    <row r="427" spans="1:10" x14ac:dyDescent="0.25">
      <c r="A427" s="28">
        <f t="shared" si="27"/>
        <v>45594</v>
      </c>
      <c r="B427" s="29">
        <f>+$B$423+1</f>
        <v>45594</v>
      </c>
      <c r="C427" s="30">
        <f t="shared" si="28"/>
        <v>45594</v>
      </c>
      <c r="D427" s="36">
        <f t="shared" si="29"/>
        <v>44</v>
      </c>
      <c r="E427" s="40">
        <v>3</v>
      </c>
      <c r="F427" s="41" t="s">
        <v>23</v>
      </c>
      <c r="G427" s="42" t="s">
        <v>24</v>
      </c>
      <c r="H427" s="42" t="s">
        <v>43</v>
      </c>
      <c r="I427" s="44"/>
      <c r="J427" s="35"/>
    </row>
    <row r="428" spans="1:10" x14ac:dyDescent="0.25">
      <c r="A428" s="28">
        <f t="shared" si="27"/>
        <v>45594</v>
      </c>
      <c r="B428" s="29">
        <f>+$B$423+1</f>
        <v>45594</v>
      </c>
      <c r="C428" s="30">
        <f t="shared" si="28"/>
        <v>45594</v>
      </c>
      <c r="D428" s="36">
        <f t="shared" si="29"/>
        <v>44</v>
      </c>
      <c r="E428" s="40">
        <v>4</v>
      </c>
      <c r="F428" s="41" t="s">
        <v>9</v>
      </c>
      <c r="G428" s="42" t="s">
        <v>10</v>
      </c>
      <c r="H428" s="42" t="s">
        <v>18</v>
      </c>
      <c r="I428" s="44"/>
      <c r="J428" s="35"/>
    </row>
    <row r="429" spans="1:10" x14ac:dyDescent="0.25">
      <c r="A429" s="28">
        <f t="shared" si="27"/>
        <v>45595</v>
      </c>
      <c r="B429" s="29">
        <f>+B426+1</f>
        <v>45595</v>
      </c>
      <c r="C429" s="30">
        <f t="shared" si="28"/>
        <v>45595</v>
      </c>
      <c r="D429" s="36">
        <f t="shared" si="29"/>
        <v>44</v>
      </c>
      <c r="E429" s="40">
        <v>8.5</v>
      </c>
      <c r="F429" s="41" t="s">
        <v>9</v>
      </c>
      <c r="G429" s="42" t="s">
        <v>10</v>
      </c>
      <c r="H429" s="42" t="s">
        <v>18</v>
      </c>
      <c r="I429" s="44"/>
      <c r="J429" s="35"/>
    </row>
    <row r="430" spans="1:10" x14ac:dyDescent="0.25">
      <c r="A430" s="28">
        <f t="shared" si="27"/>
        <v>45596</v>
      </c>
      <c r="B430" s="29">
        <f>+$B$429+1</f>
        <v>45596</v>
      </c>
      <c r="C430" s="30">
        <f t="shared" si="28"/>
        <v>45596</v>
      </c>
      <c r="D430" s="36">
        <f t="shared" si="29"/>
        <v>44</v>
      </c>
      <c r="E430" s="40">
        <v>1.5</v>
      </c>
      <c r="F430" s="41" t="s">
        <v>15</v>
      </c>
      <c r="G430" s="42" t="s">
        <v>16</v>
      </c>
      <c r="H430" s="42" t="s">
        <v>17</v>
      </c>
      <c r="I430" s="44"/>
      <c r="J430" s="35"/>
    </row>
    <row r="431" spans="1:10" x14ac:dyDescent="0.25">
      <c r="A431" s="28">
        <f t="shared" si="27"/>
        <v>45596</v>
      </c>
      <c r="B431" s="29">
        <f>+$B$429+1</f>
        <v>45596</v>
      </c>
      <c r="C431" s="30">
        <f t="shared" si="28"/>
        <v>45596</v>
      </c>
      <c r="D431" s="36">
        <f t="shared" si="29"/>
        <v>44</v>
      </c>
      <c r="E431" s="40">
        <v>7</v>
      </c>
      <c r="F431" s="41" t="s">
        <v>9</v>
      </c>
      <c r="G431" s="42" t="s">
        <v>10</v>
      </c>
      <c r="H431" s="42" t="s">
        <v>18</v>
      </c>
      <c r="I431" s="44"/>
      <c r="J431" s="35"/>
    </row>
    <row r="432" spans="1:10" x14ac:dyDescent="0.25">
      <c r="A432" s="28">
        <f t="shared" si="27"/>
        <v>45597</v>
      </c>
      <c r="B432" s="29">
        <f>+B430+1</f>
        <v>45597</v>
      </c>
      <c r="C432" s="30">
        <f t="shared" si="28"/>
        <v>45597</v>
      </c>
      <c r="D432" s="36">
        <f t="shared" si="29"/>
        <v>44</v>
      </c>
      <c r="E432" s="54" t="s">
        <v>33</v>
      </c>
      <c r="F432" s="66"/>
      <c r="G432" s="56"/>
      <c r="H432" s="56"/>
      <c r="I432" s="44"/>
      <c r="J432" s="35">
        <f>SUM(E423:E432)</f>
        <v>34</v>
      </c>
    </row>
    <row r="433" spans="1:10" x14ac:dyDescent="0.25">
      <c r="A433" s="28">
        <f t="shared" si="27"/>
        <v>45598</v>
      </c>
      <c r="B433" s="29">
        <f t="shared" si="30"/>
        <v>45598</v>
      </c>
      <c r="C433" s="30">
        <f t="shared" si="28"/>
        <v>45598</v>
      </c>
      <c r="D433" s="36">
        <f t="shared" si="29"/>
        <v>44</v>
      </c>
      <c r="E433" s="40"/>
      <c r="F433" s="41"/>
      <c r="G433" s="42"/>
      <c r="H433" s="42"/>
      <c r="I433" s="44"/>
      <c r="J433" s="35"/>
    </row>
    <row r="434" spans="1:10" x14ac:dyDescent="0.25">
      <c r="A434" s="28">
        <f t="shared" si="27"/>
        <v>45599</v>
      </c>
      <c r="B434" s="29">
        <f t="shared" si="30"/>
        <v>45599</v>
      </c>
      <c r="C434" s="30">
        <f t="shared" si="28"/>
        <v>45599</v>
      </c>
      <c r="D434" s="36">
        <f t="shared" si="29"/>
        <v>45</v>
      </c>
      <c r="E434" s="40"/>
      <c r="F434" s="41"/>
      <c r="G434" s="42"/>
      <c r="H434" s="42"/>
      <c r="I434" s="44"/>
      <c r="J434" s="35"/>
    </row>
    <row r="435" spans="1:10" x14ac:dyDescent="0.25">
      <c r="A435" s="28">
        <f t="shared" si="27"/>
        <v>45600</v>
      </c>
      <c r="B435" s="29">
        <f t="shared" si="30"/>
        <v>45600</v>
      </c>
      <c r="C435" s="30">
        <f t="shared" si="28"/>
        <v>45600</v>
      </c>
      <c r="D435" s="36">
        <f t="shared" si="29"/>
        <v>45</v>
      </c>
      <c r="E435" s="37">
        <v>8.5</v>
      </c>
      <c r="F435" s="38" t="s">
        <v>9</v>
      </c>
      <c r="G435" s="39" t="s">
        <v>10</v>
      </c>
      <c r="H435" s="39" t="s">
        <v>18</v>
      </c>
      <c r="I435" s="44"/>
      <c r="J435" s="35"/>
    </row>
    <row r="436" spans="1:10" x14ac:dyDescent="0.25">
      <c r="A436" s="28">
        <f t="shared" si="27"/>
        <v>45601</v>
      </c>
      <c r="B436" s="29">
        <f>+$B$435+1</f>
        <v>45601</v>
      </c>
      <c r="C436" s="30">
        <f t="shared" si="28"/>
        <v>45601</v>
      </c>
      <c r="D436" s="36">
        <f t="shared" si="29"/>
        <v>45</v>
      </c>
      <c r="E436" s="40">
        <v>1.5</v>
      </c>
      <c r="F436" s="41" t="s">
        <v>15</v>
      </c>
      <c r="G436" s="42" t="s">
        <v>16</v>
      </c>
      <c r="H436" s="42" t="s">
        <v>17</v>
      </c>
      <c r="I436" s="44"/>
      <c r="J436" s="35"/>
    </row>
    <row r="437" spans="1:10" x14ac:dyDescent="0.25">
      <c r="A437" s="28">
        <f t="shared" si="27"/>
        <v>45601</v>
      </c>
      <c r="B437" s="29">
        <f>+$B$435+1</f>
        <v>45601</v>
      </c>
      <c r="C437" s="30">
        <f t="shared" si="28"/>
        <v>45601</v>
      </c>
      <c r="D437" s="36">
        <f t="shared" si="29"/>
        <v>45</v>
      </c>
      <c r="E437" s="40">
        <v>7</v>
      </c>
      <c r="F437" s="41" t="s">
        <v>9</v>
      </c>
      <c r="G437" s="42" t="s">
        <v>10</v>
      </c>
      <c r="H437" s="42" t="s">
        <v>18</v>
      </c>
      <c r="I437" s="44"/>
      <c r="J437" s="35"/>
    </row>
    <row r="438" spans="1:10" x14ac:dyDescent="0.25">
      <c r="A438" s="28">
        <f t="shared" si="27"/>
        <v>45602</v>
      </c>
      <c r="B438" s="29">
        <f>+B436+1</f>
        <v>45602</v>
      </c>
      <c r="C438" s="30">
        <f t="shared" si="28"/>
        <v>45602</v>
      </c>
      <c r="D438" s="36">
        <f t="shared" si="29"/>
        <v>45</v>
      </c>
      <c r="E438" s="37">
        <v>8.5</v>
      </c>
      <c r="F438" s="38" t="s">
        <v>9</v>
      </c>
      <c r="G438" s="39" t="s">
        <v>10</v>
      </c>
      <c r="H438" s="39" t="s">
        <v>18</v>
      </c>
      <c r="I438" s="44"/>
      <c r="J438" s="35"/>
    </row>
    <row r="439" spans="1:10" x14ac:dyDescent="0.25">
      <c r="A439" s="28">
        <f t="shared" si="27"/>
        <v>45603</v>
      </c>
      <c r="B439" s="29">
        <f>+$B$438+1</f>
        <v>45603</v>
      </c>
      <c r="C439" s="30">
        <f t="shared" si="28"/>
        <v>45603</v>
      </c>
      <c r="D439" s="36">
        <f t="shared" si="29"/>
        <v>45</v>
      </c>
      <c r="E439" s="47">
        <v>0</v>
      </c>
      <c r="F439" s="48" t="s">
        <v>15</v>
      </c>
      <c r="G439" s="49" t="s">
        <v>16</v>
      </c>
      <c r="H439" s="49" t="s">
        <v>17</v>
      </c>
      <c r="I439" s="44"/>
      <c r="J439" s="35"/>
    </row>
    <row r="440" spans="1:10" x14ac:dyDescent="0.25">
      <c r="A440" s="28">
        <f t="shared" si="27"/>
        <v>45603</v>
      </c>
      <c r="B440" s="29">
        <f>+$B$438+1</f>
        <v>45603</v>
      </c>
      <c r="C440" s="30">
        <f t="shared" si="28"/>
        <v>45603</v>
      </c>
      <c r="D440" s="36">
        <f t="shared" si="29"/>
        <v>45</v>
      </c>
      <c r="E440" s="40">
        <v>1.5</v>
      </c>
      <c r="F440" s="41" t="s">
        <v>9</v>
      </c>
      <c r="G440" s="42" t="s">
        <v>10</v>
      </c>
      <c r="H440" s="42" t="s">
        <v>18</v>
      </c>
      <c r="I440" s="44"/>
      <c r="J440" s="35"/>
    </row>
    <row r="441" spans="1:10" x14ac:dyDescent="0.25">
      <c r="A441" s="28">
        <f t="shared" si="27"/>
        <v>45603</v>
      </c>
      <c r="B441" s="29">
        <f>+$B$438+1</f>
        <v>45603</v>
      </c>
      <c r="C441" s="30">
        <f t="shared" si="28"/>
        <v>45603</v>
      </c>
      <c r="D441" s="36">
        <f t="shared" si="29"/>
        <v>45</v>
      </c>
      <c r="E441" s="40">
        <v>7</v>
      </c>
      <c r="F441" s="41" t="s">
        <v>67</v>
      </c>
      <c r="G441" s="42" t="s">
        <v>68</v>
      </c>
      <c r="H441" s="42" t="s">
        <v>69</v>
      </c>
      <c r="I441" s="44"/>
      <c r="J441" s="35"/>
    </row>
    <row r="442" spans="1:10" x14ac:dyDescent="0.25">
      <c r="A442" s="28">
        <f t="shared" si="27"/>
        <v>45604</v>
      </c>
      <c r="B442" s="29">
        <f>+$B$439+1</f>
        <v>45604</v>
      </c>
      <c r="C442" s="30">
        <f t="shared" si="28"/>
        <v>45604</v>
      </c>
      <c r="D442" s="36">
        <f t="shared" si="29"/>
        <v>45</v>
      </c>
      <c r="E442" s="37">
        <v>6</v>
      </c>
      <c r="F442" s="38" t="s">
        <v>9</v>
      </c>
      <c r="G442" s="39" t="s">
        <v>10</v>
      </c>
      <c r="H442" s="39" t="s">
        <v>18</v>
      </c>
      <c r="I442" s="44"/>
      <c r="J442" s="35"/>
    </row>
    <row r="443" spans="1:10" x14ac:dyDescent="0.25">
      <c r="A443" s="28">
        <f t="shared" si="27"/>
        <v>45604</v>
      </c>
      <c r="B443" s="29">
        <f>+$B$439+1</f>
        <v>45604</v>
      </c>
      <c r="C443" s="30">
        <f t="shared" si="28"/>
        <v>45604</v>
      </c>
      <c r="D443" s="36">
        <f t="shared" si="29"/>
        <v>45</v>
      </c>
      <c r="E443" s="37"/>
      <c r="F443" s="38"/>
      <c r="G443" s="39"/>
      <c r="H443" s="39"/>
      <c r="I443" s="44"/>
      <c r="J443" s="35">
        <f>SUM(E435:E443)</f>
        <v>40</v>
      </c>
    </row>
    <row r="444" spans="1:10" x14ac:dyDescent="0.25">
      <c r="A444" s="28">
        <f t="shared" si="27"/>
        <v>45605</v>
      </c>
      <c r="B444" s="29">
        <f>+B442+1</f>
        <v>45605</v>
      </c>
      <c r="C444" s="30">
        <f t="shared" si="28"/>
        <v>45605</v>
      </c>
      <c r="D444" s="36">
        <f t="shared" si="29"/>
        <v>45</v>
      </c>
      <c r="E444" s="37"/>
      <c r="F444" s="38"/>
      <c r="G444" s="39"/>
      <c r="H444" s="39"/>
      <c r="I444" s="44"/>
      <c r="J444" s="35"/>
    </row>
    <row r="445" spans="1:10" x14ac:dyDescent="0.25">
      <c r="A445" s="28">
        <f t="shared" si="27"/>
        <v>45606</v>
      </c>
      <c r="B445" s="29">
        <f t="shared" si="30"/>
        <v>45606</v>
      </c>
      <c r="C445" s="30">
        <f t="shared" si="28"/>
        <v>45606</v>
      </c>
      <c r="D445" s="36">
        <f t="shared" si="29"/>
        <v>46</v>
      </c>
      <c r="E445" s="37"/>
      <c r="F445" s="38"/>
      <c r="G445" s="39"/>
      <c r="H445" s="39"/>
      <c r="I445" s="44"/>
      <c r="J445" s="35"/>
    </row>
    <row r="446" spans="1:10" x14ac:dyDescent="0.25">
      <c r="A446" s="28">
        <f t="shared" si="27"/>
        <v>45607</v>
      </c>
      <c r="B446" s="29">
        <f t="shared" si="30"/>
        <v>45607</v>
      </c>
      <c r="C446" s="30">
        <f t="shared" si="28"/>
        <v>45607</v>
      </c>
      <c r="D446" s="36">
        <f t="shared" si="29"/>
        <v>46</v>
      </c>
      <c r="E446" s="37">
        <v>8.5</v>
      </c>
      <c r="F446" s="38" t="s">
        <v>9</v>
      </c>
      <c r="G446" s="39" t="s">
        <v>10</v>
      </c>
      <c r="H446" s="39" t="s">
        <v>18</v>
      </c>
      <c r="I446" s="44"/>
      <c r="J446" s="35"/>
    </row>
    <row r="447" spans="1:10" x14ac:dyDescent="0.25">
      <c r="A447" s="28">
        <f t="shared" si="27"/>
        <v>45608</v>
      </c>
      <c r="B447" s="29">
        <f>+$B$446+1</f>
        <v>45608</v>
      </c>
      <c r="C447" s="30">
        <f t="shared" si="28"/>
        <v>45608</v>
      </c>
      <c r="D447" s="36">
        <f t="shared" si="29"/>
        <v>46</v>
      </c>
      <c r="E447" s="37">
        <v>7</v>
      </c>
      <c r="F447" s="38" t="s">
        <v>9</v>
      </c>
      <c r="G447" s="39" t="s">
        <v>10</v>
      </c>
      <c r="H447" s="39" t="s">
        <v>18</v>
      </c>
      <c r="I447" s="44"/>
      <c r="J447" s="35"/>
    </row>
    <row r="448" spans="1:10" x14ac:dyDescent="0.25">
      <c r="A448" s="28">
        <f t="shared" si="27"/>
        <v>45608</v>
      </c>
      <c r="B448" s="29">
        <f>+$B$446+1</f>
        <v>45608</v>
      </c>
      <c r="C448" s="30">
        <f t="shared" si="28"/>
        <v>45608</v>
      </c>
      <c r="D448" s="36">
        <f t="shared" si="29"/>
        <v>46</v>
      </c>
      <c r="E448" s="40">
        <v>1.5</v>
      </c>
      <c r="F448" s="41" t="s">
        <v>15</v>
      </c>
      <c r="G448" s="42" t="s">
        <v>16</v>
      </c>
      <c r="H448" s="42" t="s">
        <v>17</v>
      </c>
      <c r="I448" s="44"/>
      <c r="J448" s="35"/>
    </row>
    <row r="449" spans="1:10" x14ac:dyDescent="0.25">
      <c r="A449" s="28">
        <f t="shared" si="27"/>
        <v>45609</v>
      </c>
      <c r="B449" s="29">
        <f>+B447+1</f>
        <v>45609</v>
      </c>
      <c r="C449" s="30">
        <f t="shared" si="28"/>
        <v>45609</v>
      </c>
      <c r="D449" s="36">
        <f t="shared" si="29"/>
        <v>46</v>
      </c>
      <c r="E449" s="37">
        <v>8.5</v>
      </c>
      <c r="F449" s="38" t="s">
        <v>9</v>
      </c>
      <c r="G449" s="39" t="s">
        <v>10</v>
      </c>
      <c r="H449" s="39" t="s">
        <v>18</v>
      </c>
      <c r="I449" s="44"/>
      <c r="J449" s="35"/>
    </row>
    <row r="450" spans="1:10" x14ac:dyDescent="0.25">
      <c r="A450" s="28">
        <f t="shared" si="27"/>
        <v>45610</v>
      </c>
      <c r="B450" s="29">
        <f>+$B$449+1</f>
        <v>45610</v>
      </c>
      <c r="C450" s="30">
        <f t="shared" si="28"/>
        <v>45610</v>
      </c>
      <c r="D450" s="36">
        <f t="shared" si="29"/>
        <v>46</v>
      </c>
      <c r="E450" s="37">
        <v>7</v>
      </c>
      <c r="F450" s="38" t="s">
        <v>9</v>
      </c>
      <c r="G450" s="39" t="s">
        <v>10</v>
      </c>
      <c r="H450" s="39" t="s">
        <v>18</v>
      </c>
      <c r="I450" s="44"/>
      <c r="J450" s="35"/>
    </row>
    <row r="451" spans="1:10" x14ac:dyDescent="0.25">
      <c r="A451" s="28">
        <f t="shared" si="27"/>
        <v>45610</v>
      </c>
      <c r="B451" s="29">
        <f>+$B$449+1</f>
        <v>45610</v>
      </c>
      <c r="C451" s="30">
        <f t="shared" si="28"/>
        <v>45610</v>
      </c>
      <c r="D451" s="36">
        <f t="shared" si="29"/>
        <v>46</v>
      </c>
      <c r="E451" s="40">
        <v>1.5</v>
      </c>
      <c r="F451" s="41" t="s">
        <v>15</v>
      </c>
      <c r="G451" s="42" t="s">
        <v>16</v>
      </c>
      <c r="H451" s="42" t="s">
        <v>17</v>
      </c>
      <c r="I451" s="44"/>
      <c r="J451" s="35"/>
    </row>
    <row r="452" spans="1:10" x14ac:dyDescent="0.25">
      <c r="A452" s="28">
        <f t="shared" si="27"/>
        <v>45611</v>
      </c>
      <c r="B452" s="29">
        <f>+B450+1</f>
        <v>45611</v>
      </c>
      <c r="C452" s="30">
        <f t="shared" si="28"/>
        <v>45611</v>
      </c>
      <c r="D452" s="36">
        <f t="shared" ref="D452:D559" si="31">WEEKNUM(A452)</f>
        <v>46</v>
      </c>
      <c r="E452" s="37">
        <v>6</v>
      </c>
      <c r="F452" s="38" t="s">
        <v>9</v>
      </c>
      <c r="G452" s="39" t="s">
        <v>10</v>
      </c>
      <c r="H452" s="39" t="s">
        <v>18</v>
      </c>
      <c r="I452" s="44"/>
      <c r="J452" s="35">
        <f>SUM(E446:E452)</f>
        <v>40</v>
      </c>
    </row>
    <row r="453" spans="1:10" x14ac:dyDescent="0.25">
      <c r="A453" s="28">
        <f t="shared" si="27"/>
        <v>45612</v>
      </c>
      <c r="B453" s="29">
        <f t="shared" si="30"/>
        <v>45612</v>
      </c>
      <c r="C453" s="30">
        <f t="shared" si="28"/>
        <v>45612</v>
      </c>
      <c r="D453" s="36">
        <f t="shared" si="31"/>
        <v>46</v>
      </c>
      <c r="E453" s="37"/>
      <c r="F453" s="38"/>
      <c r="G453" s="39"/>
      <c r="H453" s="39"/>
      <c r="I453" s="44"/>
      <c r="J453" s="35"/>
    </row>
    <row r="454" spans="1:10" x14ac:dyDescent="0.25">
      <c r="A454" s="28">
        <f t="shared" si="27"/>
        <v>45613</v>
      </c>
      <c r="B454" s="29">
        <f t="shared" si="30"/>
        <v>45613</v>
      </c>
      <c r="C454" s="30">
        <f t="shared" si="28"/>
        <v>45613</v>
      </c>
      <c r="D454" s="36">
        <f t="shared" si="31"/>
        <v>47</v>
      </c>
      <c r="E454" s="40"/>
      <c r="F454" s="41"/>
      <c r="G454" s="42"/>
      <c r="H454" s="42"/>
      <c r="I454" s="44"/>
      <c r="J454" s="35"/>
    </row>
    <row r="455" spans="1:10" x14ac:dyDescent="0.25">
      <c r="A455" s="28">
        <f t="shared" si="27"/>
        <v>45614</v>
      </c>
      <c r="B455" s="29">
        <f t="shared" si="30"/>
        <v>45614</v>
      </c>
      <c r="C455" s="30">
        <f t="shared" si="28"/>
        <v>45614</v>
      </c>
      <c r="D455" s="36">
        <f t="shared" si="31"/>
        <v>47</v>
      </c>
      <c r="E455" s="37">
        <v>8.5</v>
      </c>
      <c r="F455" s="38" t="s">
        <v>9</v>
      </c>
      <c r="G455" s="39" t="s">
        <v>10</v>
      </c>
      <c r="H455" s="39" t="s">
        <v>18</v>
      </c>
      <c r="I455" s="44"/>
      <c r="J455" s="35"/>
    </row>
    <row r="456" spans="1:10" x14ac:dyDescent="0.25">
      <c r="A456" s="28">
        <f t="shared" si="27"/>
        <v>45615</v>
      </c>
      <c r="B456" s="29">
        <f>+$B$455+1</f>
        <v>45615</v>
      </c>
      <c r="C456" s="30">
        <f t="shared" si="28"/>
        <v>45615</v>
      </c>
      <c r="D456" s="36">
        <f t="shared" si="31"/>
        <v>47</v>
      </c>
      <c r="E456" s="40">
        <v>1.5</v>
      </c>
      <c r="F456" s="41" t="s">
        <v>15</v>
      </c>
      <c r="G456" s="42" t="s">
        <v>16</v>
      </c>
      <c r="H456" s="42" t="s">
        <v>17</v>
      </c>
      <c r="I456" s="44"/>
      <c r="J456" s="35"/>
    </row>
    <row r="457" spans="1:10" x14ac:dyDescent="0.25">
      <c r="A457" s="28">
        <f t="shared" si="27"/>
        <v>45615</v>
      </c>
      <c r="B457" s="29">
        <f>+$B$455+1</f>
        <v>45615</v>
      </c>
      <c r="C457" s="30">
        <f t="shared" si="28"/>
        <v>45615</v>
      </c>
      <c r="D457" s="36">
        <f t="shared" si="31"/>
        <v>47</v>
      </c>
      <c r="E457" s="40">
        <v>7</v>
      </c>
      <c r="F457" s="41" t="s">
        <v>9</v>
      </c>
      <c r="G457" s="42" t="s">
        <v>10</v>
      </c>
      <c r="H457" s="42" t="s">
        <v>18</v>
      </c>
      <c r="I457" s="44"/>
      <c r="J457" s="35"/>
    </row>
    <row r="458" spans="1:10" x14ac:dyDescent="0.25">
      <c r="A458" s="28">
        <f t="shared" si="27"/>
        <v>45616</v>
      </c>
      <c r="B458" s="29">
        <f>+B456+1</f>
        <v>45616</v>
      </c>
      <c r="C458" s="30">
        <f t="shared" si="28"/>
        <v>45616</v>
      </c>
      <c r="D458" s="36">
        <f t="shared" si="31"/>
        <v>47</v>
      </c>
      <c r="E458" s="37">
        <v>8.5</v>
      </c>
      <c r="F458" s="38" t="s">
        <v>9</v>
      </c>
      <c r="G458" s="39" t="s">
        <v>10</v>
      </c>
      <c r="H458" s="39" t="s">
        <v>18</v>
      </c>
      <c r="I458" s="44"/>
      <c r="J458" s="35"/>
    </row>
    <row r="459" spans="1:10" x14ac:dyDescent="0.25">
      <c r="A459" s="28">
        <f t="shared" si="27"/>
        <v>45617</v>
      </c>
      <c r="B459" s="29">
        <f>+$B$458+1</f>
        <v>45617</v>
      </c>
      <c r="C459" s="30">
        <f t="shared" si="28"/>
        <v>45617</v>
      </c>
      <c r="D459" s="36">
        <f t="shared" si="31"/>
        <v>47</v>
      </c>
      <c r="E459" s="40">
        <v>1.5</v>
      </c>
      <c r="F459" s="41" t="s">
        <v>15</v>
      </c>
      <c r="G459" s="42" t="s">
        <v>16</v>
      </c>
      <c r="H459" s="42" t="s">
        <v>17</v>
      </c>
      <c r="I459" s="44"/>
      <c r="J459" s="35"/>
    </row>
    <row r="460" spans="1:10" x14ac:dyDescent="0.25">
      <c r="A460" s="28">
        <f t="shared" si="27"/>
        <v>45617</v>
      </c>
      <c r="B460" s="29">
        <f>+$B$458+1</f>
        <v>45617</v>
      </c>
      <c r="C460" s="30">
        <f t="shared" si="28"/>
        <v>45617</v>
      </c>
      <c r="D460" s="36">
        <f t="shared" si="31"/>
        <v>47</v>
      </c>
      <c r="E460" s="40">
        <v>7</v>
      </c>
      <c r="F460" s="41" t="s">
        <v>9</v>
      </c>
      <c r="G460" s="42" t="s">
        <v>10</v>
      </c>
      <c r="H460" s="42" t="s">
        <v>18</v>
      </c>
      <c r="I460" s="44"/>
      <c r="J460" s="35"/>
    </row>
    <row r="461" spans="1:10" x14ac:dyDescent="0.25">
      <c r="A461" s="28">
        <f t="shared" si="27"/>
        <v>45618</v>
      </c>
      <c r="B461" s="29">
        <f>+B459+1</f>
        <v>45618</v>
      </c>
      <c r="C461" s="30">
        <f t="shared" si="28"/>
        <v>45618</v>
      </c>
      <c r="D461" s="36">
        <f t="shared" si="31"/>
        <v>47</v>
      </c>
      <c r="E461" s="37">
        <v>6</v>
      </c>
      <c r="F461" s="38" t="s">
        <v>9</v>
      </c>
      <c r="G461" s="39" t="s">
        <v>10</v>
      </c>
      <c r="H461" s="39" t="s">
        <v>18</v>
      </c>
      <c r="I461" s="44"/>
      <c r="J461" s="35">
        <f>SUM(E455:E461)</f>
        <v>40</v>
      </c>
    </row>
    <row r="462" spans="1:10" x14ac:dyDescent="0.25">
      <c r="A462" s="28">
        <f t="shared" si="27"/>
        <v>45619</v>
      </c>
      <c r="B462" s="29">
        <f t="shared" ref="B462:B514" si="32">+B461+1</f>
        <v>45619</v>
      </c>
      <c r="C462" s="30">
        <f t="shared" si="28"/>
        <v>45619</v>
      </c>
      <c r="D462" s="36">
        <f t="shared" si="31"/>
        <v>47</v>
      </c>
      <c r="E462" s="32"/>
      <c r="F462" s="33"/>
      <c r="G462" s="45"/>
      <c r="H462" s="45"/>
      <c r="I462" s="44"/>
      <c r="J462" s="35"/>
    </row>
    <row r="463" spans="1:10" x14ac:dyDescent="0.25">
      <c r="A463" s="28">
        <f t="shared" si="27"/>
        <v>45620</v>
      </c>
      <c r="B463" s="29">
        <f t="shared" si="32"/>
        <v>45620</v>
      </c>
      <c r="C463" s="30">
        <f t="shared" si="28"/>
        <v>45620</v>
      </c>
      <c r="D463" s="36">
        <f t="shared" si="31"/>
        <v>48</v>
      </c>
      <c r="E463" s="37"/>
      <c r="F463" s="38"/>
      <c r="G463" s="39"/>
      <c r="H463" s="39"/>
      <c r="I463" s="44"/>
      <c r="J463" s="35"/>
    </row>
    <row r="464" spans="1:10" x14ac:dyDescent="0.25">
      <c r="A464" s="28">
        <f t="shared" si="27"/>
        <v>45621</v>
      </c>
      <c r="B464" s="29">
        <f t="shared" si="32"/>
        <v>45621</v>
      </c>
      <c r="C464" s="30">
        <f t="shared" si="28"/>
        <v>45621</v>
      </c>
      <c r="D464" s="36">
        <f t="shared" si="31"/>
        <v>48</v>
      </c>
      <c r="E464" s="37">
        <v>8.5</v>
      </c>
      <c r="F464" s="38" t="s">
        <v>9</v>
      </c>
      <c r="G464" s="39" t="s">
        <v>10</v>
      </c>
      <c r="H464" s="39" t="s">
        <v>18</v>
      </c>
      <c r="I464" s="44"/>
      <c r="J464" s="35"/>
    </row>
    <row r="465" spans="1:10" x14ac:dyDescent="0.25">
      <c r="A465" s="28">
        <f t="shared" si="27"/>
        <v>45622</v>
      </c>
      <c r="B465" s="29">
        <f>+$B$464+1</f>
        <v>45622</v>
      </c>
      <c r="C465" s="30">
        <f t="shared" si="28"/>
        <v>45622</v>
      </c>
      <c r="D465" s="36">
        <f t="shared" si="31"/>
        <v>48</v>
      </c>
      <c r="E465" s="40">
        <v>1.5</v>
      </c>
      <c r="F465" s="41" t="s">
        <v>15</v>
      </c>
      <c r="G465" s="42" t="s">
        <v>16</v>
      </c>
      <c r="H465" s="42" t="s">
        <v>17</v>
      </c>
      <c r="I465" s="44"/>
      <c r="J465" s="35"/>
    </row>
    <row r="466" spans="1:10" x14ac:dyDescent="0.25">
      <c r="A466" s="28">
        <f t="shared" si="27"/>
        <v>45622</v>
      </c>
      <c r="B466" s="29">
        <f>+$B$464+1</f>
        <v>45622</v>
      </c>
      <c r="C466" s="30">
        <f t="shared" si="28"/>
        <v>45622</v>
      </c>
      <c r="D466" s="36">
        <f t="shared" si="31"/>
        <v>48</v>
      </c>
      <c r="E466" s="40">
        <v>7</v>
      </c>
      <c r="F466" s="41" t="s">
        <v>9</v>
      </c>
      <c r="G466" s="42" t="s">
        <v>10</v>
      </c>
      <c r="H466" s="42" t="s">
        <v>18</v>
      </c>
      <c r="I466" s="44"/>
      <c r="J466" s="35"/>
    </row>
    <row r="467" spans="1:10" x14ac:dyDescent="0.25">
      <c r="A467" s="28">
        <f t="shared" si="27"/>
        <v>45623</v>
      </c>
      <c r="B467" s="29">
        <f>+$B$465+1</f>
        <v>45623</v>
      </c>
      <c r="C467" s="30">
        <f t="shared" si="28"/>
        <v>45623</v>
      </c>
      <c r="D467" s="36">
        <f t="shared" si="31"/>
        <v>48</v>
      </c>
      <c r="E467" s="37">
        <v>1</v>
      </c>
      <c r="F467" s="38" t="s">
        <v>15</v>
      </c>
      <c r="G467" s="39" t="s">
        <v>19</v>
      </c>
      <c r="H467" s="39" t="s">
        <v>20</v>
      </c>
      <c r="I467" s="44"/>
      <c r="J467" s="35"/>
    </row>
    <row r="468" spans="1:10" x14ac:dyDescent="0.25">
      <c r="A468" s="28">
        <f t="shared" si="27"/>
        <v>45623</v>
      </c>
      <c r="B468" s="29">
        <f>+$B$465+1</f>
        <v>45623</v>
      </c>
      <c r="C468" s="30">
        <f t="shared" si="28"/>
        <v>45623</v>
      </c>
      <c r="D468" s="36">
        <f t="shared" si="31"/>
        <v>48</v>
      </c>
      <c r="E468" s="37">
        <v>7.5</v>
      </c>
      <c r="F468" s="38" t="s">
        <v>9</v>
      </c>
      <c r="G468" s="39" t="s">
        <v>10</v>
      </c>
      <c r="H468" s="39" t="s">
        <v>18</v>
      </c>
      <c r="I468" s="44"/>
      <c r="J468" s="35"/>
    </row>
    <row r="469" spans="1:10" x14ac:dyDescent="0.25">
      <c r="A469" s="28">
        <f t="shared" si="27"/>
        <v>45624</v>
      </c>
      <c r="B469" s="29">
        <f>+$B$467+1</f>
        <v>45624</v>
      </c>
      <c r="C469" s="30">
        <f t="shared" si="28"/>
        <v>45624</v>
      </c>
      <c r="D469" s="36">
        <f t="shared" si="31"/>
        <v>48</v>
      </c>
      <c r="E469" s="40">
        <v>1.5</v>
      </c>
      <c r="F469" s="41" t="s">
        <v>15</v>
      </c>
      <c r="G469" s="42" t="s">
        <v>16</v>
      </c>
      <c r="H469" s="42" t="s">
        <v>17</v>
      </c>
      <c r="I469" s="44"/>
      <c r="J469" s="35"/>
    </row>
    <row r="470" spans="1:10" x14ac:dyDescent="0.25">
      <c r="A470" s="28">
        <f t="shared" si="27"/>
        <v>45624</v>
      </c>
      <c r="B470" s="29">
        <f>+$B$467+1</f>
        <v>45624</v>
      </c>
      <c r="C470" s="30">
        <f t="shared" si="28"/>
        <v>45624</v>
      </c>
      <c r="D470" s="36">
        <f t="shared" si="31"/>
        <v>48</v>
      </c>
      <c r="E470" s="40">
        <v>7</v>
      </c>
      <c r="F470" s="41" t="s">
        <v>9</v>
      </c>
      <c r="G470" s="42" t="s">
        <v>10</v>
      </c>
      <c r="H470" s="42" t="s">
        <v>18</v>
      </c>
      <c r="I470" s="44"/>
      <c r="J470" s="35"/>
    </row>
    <row r="471" spans="1:10" x14ac:dyDescent="0.25">
      <c r="A471" s="28">
        <f t="shared" si="27"/>
        <v>45625</v>
      </c>
      <c r="B471" s="29">
        <f>+B469+1</f>
        <v>45625</v>
      </c>
      <c r="C471" s="30">
        <f t="shared" si="28"/>
        <v>45625</v>
      </c>
      <c r="D471" s="36">
        <f t="shared" si="31"/>
        <v>48</v>
      </c>
      <c r="E471" s="37">
        <v>6</v>
      </c>
      <c r="F471" s="38" t="s">
        <v>9</v>
      </c>
      <c r="G471" s="39" t="s">
        <v>10</v>
      </c>
      <c r="H471" s="39" t="s">
        <v>18</v>
      </c>
      <c r="I471" s="44"/>
      <c r="J471" s="35">
        <f>SUM(E464:E471)</f>
        <v>40</v>
      </c>
    </row>
    <row r="472" spans="1:10" x14ac:dyDescent="0.25">
      <c r="A472" s="28">
        <f t="shared" si="27"/>
        <v>45626</v>
      </c>
      <c r="B472" s="29">
        <f t="shared" si="32"/>
        <v>45626</v>
      </c>
      <c r="C472" s="30">
        <f t="shared" si="28"/>
        <v>45626</v>
      </c>
      <c r="D472" s="36">
        <f t="shared" si="31"/>
        <v>48</v>
      </c>
      <c r="E472" s="37"/>
      <c r="F472" s="38"/>
      <c r="G472" s="39"/>
      <c r="H472" s="39"/>
      <c r="I472" s="44"/>
      <c r="J472" s="35"/>
    </row>
    <row r="473" spans="1:10" x14ac:dyDescent="0.25">
      <c r="A473" s="28">
        <f t="shared" si="27"/>
        <v>45627</v>
      </c>
      <c r="B473" s="29">
        <f t="shared" si="32"/>
        <v>45627</v>
      </c>
      <c r="C473" s="30">
        <f t="shared" si="28"/>
        <v>45627</v>
      </c>
      <c r="D473" s="36">
        <f t="shared" si="31"/>
        <v>49</v>
      </c>
      <c r="E473" s="32"/>
      <c r="F473" s="33"/>
      <c r="G473" s="34"/>
      <c r="H473" s="34"/>
      <c r="I473" s="44"/>
      <c r="J473" s="35"/>
    </row>
    <row r="474" spans="1:10" x14ac:dyDescent="0.25">
      <c r="A474" s="28">
        <f t="shared" si="27"/>
        <v>45628</v>
      </c>
      <c r="B474" s="29">
        <f>+$B$473+1</f>
        <v>45628</v>
      </c>
      <c r="C474" s="30">
        <f t="shared" si="28"/>
        <v>45628</v>
      </c>
      <c r="D474" s="36">
        <f t="shared" si="31"/>
        <v>49</v>
      </c>
      <c r="E474" s="37">
        <v>8.5</v>
      </c>
      <c r="F474" s="38" t="s">
        <v>9</v>
      </c>
      <c r="G474" s="39" t="s">
        <v>10</v>
      </c>
      <c r="H474" s="39" t="s">
        <v>18</v>
      </c>
      <c r="I474" s="44"/>
      <c r="J474" s="35"/>
    </row>
    <row r="475" spans="1:10" x14ac:dyDescent="0.25">
      <c r="A475" s="28">
        <f t="shared" si="27"/>
        <v>45629</v>
      </c>
      <c r="B475" s="29">
        <f>+$B$474+1</f>
        <v>45629</v>
      </c>
      <c r="C475" s="30">
        <f t="shared" si="28"/>
        <v>45629</v>
      </c>
      <c r="D475" s="36">
        <f t="shared" si="31"/>
        <v>49</v>
      </c>
      <c r="E475" s="40">
        <v>1.5</v>
      </c>
      <c r="F475" s="41" t="s">
        <v>15</v>
      </c>
      <c r="G475" s="42" t="s">
        <v>16</v>
      </c>
      <c r="H475" s="42" t="s">
        <v>17</v>
      </c>
      <c r="I475" s="44"/>
      <c r="J475" s="35"/>
    </row>
    <row r="476" spans="1:10" x14ac:dyDescent="0.25">
      <c r="A476" s="28">
        <f t="shared" si="27"/>
        <v>45629</v>
      </c>
      <c r="B476" s="29">
        <f>+$B$474+1</f>
        <v>45629</v>
      </c>
      <c r="C476" s="30">
        <f t="shared" si="28"/>
        <v>45629</v>
      </c>
      <c r="D476" s="36">
        <f t="shared" si="31"/>
        <v>49</v>
      </c>
      <c r="E476" s="40">
        <v>7</v>
      </c>
      <c r="F476" s="41" t="s">
        <v>9</v>
      </c>
      <c r="G476" s="42" t="s">
        <v>10</v>
      </c>
      <c r="H476" s="42" t="s">
        <v>18</v>
      </c>
      <c r="I476" s="44"/>
      <c r="J476" s="35"/>
    </row>
    <row r="477" spans="1:10" x14ac:dyDescent="0.25">
      <c r="A477" s="28">
        <f t="shared" si="27"/>
        <v>45630</v>
      </c>
      <c r="B477" s="29">
        <f>+$B$475+1</f>
        <v>45630</v>
      </c>
      <c r="C477" s="30">
        <f t="shared" si="28"/>
        <v>45630</v>
      </c>
      <c r="D477" s="36">
        <f t="shared" si="31"/>
        <v>49</v>
      </c>
      <c r="E477" s="37">
        <v>4</v>
      </c>
      <c r="F477" s="38" t="s">
        <v>9</v>
      </c>
      <c r="G477" s="39" t="s">
        <v>10</v>
      </c>
      <c r="H477" s="39" t="s">
        <v>18</v>
      </c>
      <c r="I477" s="44"/>
      <c r="J477" s="35"/>
    </row>
    <row r="478" spans="1:10" x14ac:dyDescent="0.25">
      <c r="A478" s="28">
        <v>45630</v>
      </c>
      <c r="B478" s="29">
        <v>45630</v>
      </c>
      <c r="C478" s="30">
        <v>45630</v>
      </c>
      <c r="D478" s="36">
        <v>49</v>
      </c>
      <c r="E478" s="37">
        <v>3</v>
      </c>
      <c r="F478" s="38" t="s">
        <v>6</v>
      </c>
      <c r="G478" s="39" t="s">
        <v>26</v>
      </c>
      <c r="H478" s="39" t="s">
        <v>40</v>
      </c>
      <c r="I478" s="44"/>
      <c r="J478" s="35"/>
    </row>
    <row r="479" spans="1:10" x14ac:dyDescent="0.25">
      <c r="A479" s="28">
        <v>45630</v>
      </c>
      <c r="B479" s="29">
        <v>45630</v>
      </c>
      <c r="C479" s="30">
        <v>45630</v>
      </c>
      <c r="D479" s="36">
        <v>49</v>
      </c>
      <c r="E479" s="37">
        <v>1.5</v>
      </c>
      <c r="F479" s="38" t="s">
        <v>23</v>
      </c>
      <c r="G479" s="39" t="s">
        <v>24</v>
      </c>
      <c r="H479" s="39" t="s">
        <v>43</v>
      </c>
      <c r="I479" s="44"/>
      <c r="J479" s="35"/>
    </row>
    <row r="480" spans="1:10" x14ac:dyDescent="0.25">
      <c r="A480" s="28">
        <f t="shared" ref="A480:A538" si="33">B480</f>
        <v>45631</v>
      </c>
      <c r="B480" s="29">
        <f>+$B$477+1</f>
        <v>45631</v>
      </c>
      <c r="C480" s="30">
        <f t="shared" ref="C480:C538" si="34">B480</f>
        <v>45631</v>
      </c>
      <c r="D480" s="36">
        <f t="shared" si="31"/>
        <v>49</v>
      </c>
      <c r="E480" s="40">
        <v>1.5</v>
      </c>
      <c r="F480" s="41" t="s">
        <v>15</v>
      </c>
      <c r="G480" s="42" t="s">
        <v>16</v>
      </c>
      <c r="H480" s="42" t="s">
        <v>17</v>
      </c>
      <c r="I480" s="44"/>
      <c r="J480" s="35"/>
    </row>
    <row r="481" spans="1:10" x14ac:dyDescent="0.25">
      <c r="A481" s="28">
        <f t="shared" si="33"/>
        <v>45631</v>
      </c>
      <c r="B481" s="29">
        <f>+$B$477+1</f>
        <v>45631</v>
      </c>
      <c r="C481" s="30">
        <f t="shared" si="34"/>
        <v>45631</v>
      </c>
      <c r="D481" s="36">
        <f t="shared" si="31"/>
        <v>49</v>
      </c>
      <c r="E481" s="40">
        <v>4</v>
      </c>
      <c r="F481" s="41" t="s">
        <v>9</v>
      </c>
      <c r="G481" s="42" t="s">
        <v>10</v>
      </c>
      <c r="H481" s="42" t="s">
        <v>18</v>
      </c>
      <c r="I481" s="44"/>
      <c r="J481" s="35"/>
    </row>
    <row r="482" spans="1:10" x14ac:dyDescent="0.25">
      <c r="A482" s="28">
        <v>45631</v>
      </c>
      <c r="B482" s="29">
        <v>45631</v>
      </c>
      <c r="C482" s="30">
        <v>45631</v>
      </c>
      <c r="D482" s="36">
        <v>49</v>
      </c>
      <c r="E482" s="40">
        <v>3</v>
      </c>
      <c r="F482" s="41" t="s">
        <v>15</v>
      </c>
      <c r="G482" s="42" t="s">
        <v>16</v>
      </c>
      <c r="H482" s="42" t="s">
        <v>72</v>
      </c>
      <c r="I482" s="44"/>
      <c r="J482" s="35"/>
    </row>
    <row r="483" spans="1:10" x14ac:dyDescent="0.25">
      <c r="A483" s="28">
        <f t="shared" si="33"/>
        <v>45632</v>
      </c>
      <c r="B483" s="29">
        <f>+B480+1</f>
        <v>45632</v>
      </c>
      <c r="C483" s="30">
        <f t="shared" si="34"/>
        <v>45632</v>
      </c>
      <c r="D483" s="36">
        <f t="shared" si="31"/>
        <v>49</v>
      </c>
      <c r="E483" s="54" t="s">
        <v>33</v>
      </c>
      <c r="F483" s="66"/>
      <c r="G483" s="56"/>
      <c r="H483" s="56"/>
      <c r="I483" s="44"/>
      <c r="J483" s="35">
        <f>SUM(E474:E483)</f>
        <v>34</v>
      </c>
    </row>
    <row r="484" spans="1:10" x14ac:dyDescent="0.25">
      <c r="A484" s="28">
        <f t="shared" si="33"/>
        <v>45633</v>
      </c>
      <c r="B484" s="29">
        <f t="shared" si="32"/>
        <v>45633</v>
      </c>
      <c r="C484" s="30">
        <f t="shared" si="34"/>
        <v>45633</v>
      </c>
      <c r="D484" s="36">
        <f t="shared" si="31"/>
        <v>49</v>
      </c>
      <c r="E484" s="54"/>
      <c r="F484" s="55"/>
      <c r="G484" s="57"/>
      <c r="H484" s="57"/>
      <c r="I484" s="44"/>
      <c r="J484" s="35"/>
    </row>
    <row r="485" spans="1:10" x14ac:dyDescent="0.25">
      <c r="A485" s="28">
        <f t="shared" si="33"/>
        <v>45634</v>
      </c>
      <c r="B485" s="29">
        <f t="shared" si="32"/>
        <v>45634</v>
      </c>
      <c r="C485" s="30">
        <f t="shared" si="34"/>
        <v>45634</v>
      </c>
      <c r="D485" s="36">
        <f t="shared" si="31"/>
        <v>50</v>
      </c>
      <c r="E485" s="40"/>
      <c r="F485" s="41"/>
      <c r="G485" s="42"/>
      <c r="H485" s="42"/>
      <c r="I485" s="44"/>
      <c r="J485" s="35"/>
    </row>
    <row r="486" spans="1:10" x14ac:dyDescent="0.25">
      <c r="A486" s="28">
        <f t="shared" si="33"/>
        <v>45635</v>
      </c>
      <c r="B486" s="29">
        <f t="shared" si="32"/>
        <v>45635</v>
      </c>
      <c r="C486" s="30">
        <f t="shared" si="34"/>
        <v>45635</v>
      </c>
      <c r="D486" s="36">
        <f t="shared" si="31"/>
        <v>50</v>
      </c>
      <c r="E486" s="37">
        <v>8.5</v>
      </c>
      <c r="F486" s="38" t="s">
        <v>9</v>
      </c>
      <c r="G486" s="39" t="s">
        <v>10</v>
      </c>
      <c r="H486" s="39" t="s">
        <v>18</v>
      </c>
      <c r="I486" s="44"/>
      <c r="J486" s="35"/>
    </row>
    <row r="487" spans="1:10" x14ac:dyDescent="0.25">
      <c r="A487" s="28">
        <f t="shared" si="33"/>
        <v>45636</v>
      </c>
      <c r="B487" s="29">
        <f>+$B$486+1</f>
        <v>45636</v>
      </c>
      <c r="C487" s="30">
        <f t="shared" si="34"/>
        <v>45636</v>
      </c>
      <c r="D487" s="36">
        <f t="shared" si="31"/>
        <v>50</v>
      </c>
      <c r="E487" s="47">
        <v>0</v>
      </c>
      <c r="F487" s="48" t="s">
        <v>15</v>
      </c>
      <c r="G487" s="49" t="s">
        <v>16</v>
      </c>
      <c r="H487" s="49" t="s">
        <v>17</v>
      </c>
      <c r="I487" s="44"/>
      <c r="J487" s="35"/>
    </row>
    <row r="488" spans="1:10" x14ac:dyDescent="0.25">
      <c r="A488" s="28">
        <v>45636</v>
      </c>
      <c r="B488" s="29">
        <v>45636</v>
      </c>
      <c r="C488" s="30">
        <v>45636</v>
      </c>
      <c r="D488" s="36">
        <v>50</v>
      </c>
      <c r="E488" s="40">
        <v>8.5</v>
      </c>
      <c r="F488" s="41" t="s">
        <v>9</v>
      </c>
      <c r="G488" s="42" t="s">
        <v>10</v>
      </c>
      <c r="H488" s="42" t="s">
        <v>18</v>
      </c>
      <c r="I488" s="44"/>
      <c r="J488" s="35"/>
    </row>
    <row r="489" spans="1:10" x14ac:dyDescent="0.25">
      <c r="A489" s="28">
        <f t="shared" si="33"/>
        <v>45637</v>
      </c>
      <c r="B489" s="29">
        <f>+B487+1</f>
        <v>45637</v>
      </c>
      <c r="C489" s="30">
        <f t="shared" si="34"/>
        <v>45637</v>
      </c>
      <c r="D489" s="36">
        <f t="shared" si="31"/>
        <v>50</v>
      </c>
      <c r="E489" s="37">
        <v>8.5</v>
      </c>
      <c r="F489" s="38" t="s">
        <v>9</v>
      </c>
      <c r="G489" s="39" t="s">
        <v>10</v>
      </c>
      <c r="H489" s="39" t="s">
        <v>18</v>
      </c>
      <c r="I489" s="44"/>
      <c r="J489" s="35"/>
    </row>
    <row r="490" spans="1:10" x14ac:dyDescent="0.25">
      <c r="A490" s="28">
        <f t="shared" si="33"/>
        <v>45638</v>
      </c>
      <c r="B490" s="29">
        <f>+$B$489+1</f>
        <v>45638</v>
      </c>
      <c r="C490" s="30">
        <f t="shared" si="34"/>
        <v>45638</v>
      </c>
      <c r="D490" s="36">
        <f t="shared" si="31"/>
        <v>50</v>
      </c>
      <c r="E490" s="40">
        <v>1.5</v>
      </c>
      <c r="F490" s="41" t="s">
        <v>15</v>
      </c>
      <c r="G490" s="42" t="s">
        <v>16</v>
      </c>
      <c r="H490" s="42" t="s">
        <v>17</v>
      </c>
      <c r="I490" s="44"/>
      <c r="J490" s="35"/>
    </row>
    <row r="491" spans="1:10" x14ac:dyDescent="0.25">
      <c r="A491" s="28">
        <v>45638</v>
      </c>
      <c r="B491" s="29">
        <v>45638</v>
      </c>
      <c r="C491" s="30">
        <v>45638</v>
      </c>
      <c r="D491" s="36">
        <v>50</v>
      </c>
      <c r="E491" s="40">
        <v>7</v>
      </c>
      <c r="F491" s="41" t="s">
        <v>9</v>
      </c>
      <c r="G491" s="42" t="s">
        <v>10</v>
      </c>
      <c r="H491" s="42" t="s">
        <v>18</v>
      </c>
      <c r="I491" s="44"/>
      <c r="J491" s="35"/>
    </row>
    <row r="492" spans="1:10" x14ac:dyDescent="0.25">
      <c r="A492" s="28">
        <f t="shared" si="33"/>
        <v>45639</v>
      </c>
      <c r="B492" s="29">
        <f>+B490+1</f>
        <v>45639</v>
      </c>
      <c r="C492" s="30">
        <f t="shared" si="34"/>
        <v>45639</v>
      </c>
      <c r="D492" s="36">
        <f t="shared" si="31"/>
        <v>50</v>
      </c>
      <c r="E492" s="37">
        <v>2.5</v>
      </c>
      <c r="F492" s="38" t="s">
        <v>15</v>
      </c>
      <c r="G492" s="39" t="s">
        <v>19</v>
      </c>
      <c r="H492" s="39" t="s">
        <v>73</v>
      </c>
      <c r="I492" s="44"/>
      <c r="J492" s="35"/>
    </row>
    <row r="493" spans="1:10" x14ac:dyDescent="0.25">
      <c r="A493" s="28">
        <v>45639</v>
      </c>
      <c r="B493" s="29">
        <v>45639</v>
      </c>
      <c r="C493" s="30">
        <v>45639</v>
      </c>
      <c r="D493" s="36">
        <v>50</v>
      </c>
      <c r="E493" s="37">
        <v>3.5</v>
      </c>
      <c r="F493" s="38" t="s">
        <v>15</v>
      </c>
      <c r="G493" s="39" t="s">
        <v>16</v>
      </c>
      <c r="H493" s="39" t="s">
        <v>72</v>
      </c>
      <c r="I493" s="44"/>
      <c r="J493" s="35">
        <f>SUM(E486:E493)</f>
        <v>40</v>
      </c>
    </row>
    <row r="494" spans="1:10" x14ac:dyDescent="0.25">
      <c r="A494" s="28">
        <f t="shared" si="33"/>
        <v>45640</v>
      </c>
      <c r="B494" s="29">
        <f>+B492+1</f>
        <v>45640</v>
      </c>
      <c r="C494" s="30">
        <f t="shared" si="34"/>
        <v>45640</v>
      </c>
      <c r="D494" s="36">
        <f t="shared" si="31"/>
        <v>50</v>
      </c>
      <c r="E494" s="37"/>
      <c r="F494" s="38"/>
      <c r="G494" s="39"/>
      <c r="H494" s="39"/>
      <c r="I494" s="44"/>
      <c r="J494" s="35"/>
    </row>
    <row r="495" spans="1:10" x14ac:dyDescent="0.25">
      <c r="A495" s="28">
        <f t="shared" si="33"/>
        <v>45641</v>
      </c>
      <c r="B495" s="29">
        <f t="shared" si="32"/>
        <v>45641</v>
      </c>
      <c r="C495" s="30">
        <f t="shared" si="34"/>
        <v>45641</v>
      </c>
      <c r="D495" s="36">
        <f t="shared" si="31"/>
        <v>51</v>
      </c>
      <c r="E495" s="40"/>
      <c r="F495" s="41"/>
      <c r="G495" s="42"/>
      <c r="H495" s="42"/>
      <c r="I495" s="44"/>
      <c r="J495" s="35"/>
    </row>
    <row r="496" spans="1:10" x14ac:dyDescent="0.25">
      <c r="A496" s="28">
        <f t="shared" si="33"/>
        <v>45642</v>
      </c>
      <c r="B496" s="29">
        <f t="shared" si="32"/>
        <v>45642</v>
      </c>
      <c r="C496" s="30">
        <f t="shared" si="34"/>
        <v>45642</v>
      </c>
      <c r="D496" s="36">
        <f t="shared" si="31"/>
        <v>51</v>
      </c>
      <c r="E496" s="37">
        <v>4</v>
      </c>
      <c r="F496" s="38" t="s">
        <v>74</v>
      </c>
      <c r="G496" s="39" t="s">
        <v>75</v>
      </c>
      <c r="H496" s="39" t="s">
        <v>76</v>
      </c>
      <c r="I496" s="44"/>
      <c r="J496" s="35"/>
    </row>
    <row r="497" spans="1:10" x14ac:dyDescent="0.25">
      <c r="A497" s="28">
        <v>45642</v>
      </c>
      <c r="B497" s="29">
        <v>45642</v>
      </c>
      <c r="C497" s="30">
        <v>45642</v>
      </c>
      <c r="D497" s="36">
        <v>51</v>
      </c>
      <c r="E497" s="37">
        <v>4.5</v>
      </c>
      <c r="F497" s="38" t="s">
        <v>15</v>
      </c>
      <c r="G497" s="39" t="s">
        <v>19</v>
      </c>
      <c r="H497" s="39" t="s">
        <v>77</v>
      </c>
      <c r="I497" s="44"/>
      <c r="J497" s="35"/>
    </row>
    <row r="498" spans="1:10" x14ac:dyDescent="0.25">
      <c r="A498" s="28">
        <f t="shared" si="33"/>
        <v>45643</v>
      </c>
      <c r="B498" s="29">
        <f>+$B$496+1</f>
        <v>45643</v>
      </c>
      <c r="C498" s="30">
        <f t="shared" si="34"/>
        <v>45643</v>
      </c>
      <c r="D498" s="36">
        <f t="shared" si="31"/>
        <v>51</v>
      </c>
      <c r="E498" s="40">
        <v>8.5</v>
      </c>
      <c r="F498" s="41" t="s">
        <v>15</v>
      </c>
      <c r="G498" s="42" t="s">
        <v>19</v>
      </c>
      <c r="H498" s="42" t="s">
        <v>77</v>
      </c>
      <c r="I498" s="44"/>
      <c r="J498" s="35"/>
    </row>
    <row r="499" spans="1:10" x14ac:dyDescent="0.25">
      <c r="A499" s="28">
        <f t="shared" si="33"/>
        <v>45644</v>
      </c>
      <c r="B499" s="29">
        <f>+B498+1</f>
        <v>45644</v>
      </c>
      <c r="C499" s="30">
        <f t="shared" si="34"/>
        <v>45644</v>
      </c>
      <c r="D499" s="36">
        <f t="shared" si="31"/>
        <v>51</v>
      </c>
      <c r="E499" s="37">
        <v>5</v>
      </c>
      <c r="F499" s="38" t="s">
        <v>15</v>
      </c>
      <c r="G499" s="39" t="s">
        <v>19</v>
      </c>
      <c r="H499" s="39" t="s">
        <v>77</v>
      </c>
      <c r="I499" s="44"/>
      <c r="J499" s="35"/>
    </row>
    <row r="500" spans="1:10" x14ac:dyDescent="0.25">
      <c r="A500" s="28">
        <v>45644</v>
      </c>
      <c r="B500" s="29">
        <v>45644</v>
      </c>
      <c r="C500" s="30">
        <v>45644</v>
      </c>
      <c r="D500" s="36">
        <v>51</v>
      </c>
      <c r="E500" s="37">
        <v>3.5</v>
      </c>
      <c r="F500" s="38" t="s">
        <v>15</v>
      </c>
      <c r="G500" s="39" t="s">
        <v>78</v>
      </c>
      <c r="H500" s="39" t="s">
        <v>79</v>
      </c>
      <c r="I500" s="44"/>
      <c r="J500" s="35"/>
    </row>
    <row r="501" spans="1:10" x14ac:dyDescent="0.25">
      <c r="A501" s="28">
        <f t="shared" si="33"/>
        <v>45645</v>
      </c>
      <c r="B501" s="29">
        <f>+B499+1</f>
        <v>45645</v>
      </c>
      <c r="C501" s="30">
        <f t="shared" si="34"/>
        <v>45645</v>
      </c>
      <c r="D501" s="36">
        <f t="shared" si="31"/>
        <v>51</v>
      </c>
      <c r="E501" s="40">
        <v>5.5</v>
      </c>
      <c r="F501" s="41" t="s">
        <v>15</v>
      </c>
      <c r="G501" s="42" t="s">
        <v>78</v>
      </c>
      <c r="H501" s="42" t="s">
        <v>79</v>
      </c>
      <c r="I501" s="44"/>
      <c r="J501" s="35"/>
    </row>
    <row r="502" spans="1:10" x14ac:dyDescent="0.25">
      <c r="A502" s="28">
        <v>45645</v>
      </c>
      <c r="B502" s="29">
        <v>45645</v>
      </c>
      <c r="C502" s="30">
        <v>45645</v>
      </c>
      <c r="D502" s="36">
        <v>51</v>
      </c>
      <c r="E502" s="40">
        <v>3</v>
      </c>
      <c r="F502" s="41" t="s">
        <v>15</v>
      </c>
      <c r="G502" s="42" t="s">
        <v>19</v>
      </c>
      <c r="H502" s="42" t="s">
        <v>80</v>
      </c>
      <c r="I502" s="44"/>
      <c r="J502" s="35"/>
    </row>
    <row r="503" spans="1:10" x14ac:dyDescent="0.25">
      <c r="A503" s="28">
        <f t="shared" si="33"/>
        <v>45646</v>
      </c>
      <c r="B503" s="29">
        <f>+B501+1</f>
        <v>45646</v>
      </c>
      <c r="C503" s="30">
        <f t="shared" si="34"/>
        <v>45646</v>
      </c>
      <c r="D503" s="36">
        <f t="shared" si="31"/>
        <v>51</v>
      </c>
      <c r="E503" s="37">
        <v>6</v>
      </c>
      <c r="F503" s="38" t="s">
        <v>15</v>
      </c>
      <c r="G503" s="39" t="s">
        <v>78</v>
      </c>
      <c r="H503" s="39" t="s">
        <v>79</v>
      </c>
      <c r="I503" s="44"/>
      <c r="J503" s="35">
        <f>SUM(E496:E503)</f>
        <v>40</v>
      </c>
    </row>
    <row r="504" spans="1:10" x14ac:dyDescent="0.25">
      <c r="A504" s="28">
        <f t="shared" si="33"/>
        <v>45647</v>
      </c>
      <c r="B504" s="29">
        <f>+B503+1</f>
        <v>45647</v>
      </c>
      <c r="C504" s="30">
        <f t="shared" si="34"/>
        <v>45647</v>
      </c>
      <c r="D504" s="36">
        <f t="shared" si="31"/>
        <v>51</v>
      </c>
      <c r="E504" s="32"/>
      <c r="F504" s="33"/>
      <c r="G504" s="34"/>
      <c r="H504" s="34"/>
      <c r="I504" s="44"/>
      <c r="J504" s="35"/>
    </row>
    <row r="505" spans="1:10" x14ac:dyDescent="0.25">
      <c r="A505" s="28">
        <f t="shared" si="33"/>
        <v>45648</v>
      </c>
      <c r="B505" s="29">
        <f t="shared" si="32"/>
        <v>45648</v>
      </c>
      <c r="C505" s="30">
        <f t="shared" si="34"/>
        <v>45648</v>
      </c>
      <c r="D505" s="36">
        <f t="shared" si="31"/>
        <v>52</v>
      </c>
      <c r="E505" s="32"/>
      <c r="F505" s="33"/>
      <c r="G505" s="43"/>
      <c r="H505" s="43"/>
      <c r="I505" s="44"/>
      <c r="J505" s="35"/>
    </row>
    <row r="506" spans="1:10" x14ac:dyDescent="0.25">
      <c r="A506" s="28">
        <f t="shared" si="33"/>
        <v>45649</v>
      </c>
      <c r="B506" s="29">
        <f t="shared" si="32"/>
        <v>45649</v>
      </c>
      <c r="C506" s="30">
        <f t="shared" si="34"/>
        <v>45649</v>
      </c>
      <c r="D506" s="36">
        <f t="shared" si="31"/>
        <v>52</v>
      </c>
      <c r="E506" s="58" t="s">
        <v>39</v>
      </c>
      <c r="F506" s="38"/>
      <c r="G506" s="39"/>
      <c r="H506" s="39"/>
      <c r="I506" s="44"/>
      <c r="J506" s="35"/>
    </row>
    <row r="507" spans="1:10" x14ac:dyDescent="0.25">
      <c r="A507" s="28">
        <f t="shared" si="33"/>
        <v>45650</v>
      </c>
      <c r="B507" s="29">
        <f t="shared" si="32"/>
        <v>45650</v>
      </c>
      <c r="C507" s="30">
        <f t="shared" si="34"/>
        <v>45650</v>
      </c>
      <c r="D507" s="36">
        <f t="shared" si="31"/>
        <v>52</v>
      </c>
      <c r="E507" s="54" t="s">
        <v>33</v>
      </c>
      <c r="F507" s="66"/>
      <c r="G507" s="56"/>
      <c r="H507" s="56"/>
      <c r="I507" s="44"/>
      <c r="J507" s="35"/>
    </row>
    <row r="508" spans="1:10" x14ac:dyDescent="0.25">
      <c r="A508" s="28">
        <f t="shared" si="33"/>
        <v>45651</v>
      </c>
      <c r="B508" s="29">
        <f t="shared" si="32"/>
        <v>45651</v>
      </c>
      <c r="C508" s="30">
        <f t="shared" si="34"/>
        <v>45651</v>
      </c>
      <c r="D508" s="36">
        <f t="shared" si="31"/>
        <v>52</v>
      </c>
      <c r="E508" s="54" t="s">
        <v>33</v>
      </c>
      <c r="F508" s="66"/>
      <c r="G508" s="56"/>
      <c r="H508" s="56"/>
      <c r="I508" s="44"/>
      <c r="J508" s="35"/>
    </row>
    <row r="509" spans="1:10" x14ac:dyDescent="0.25">
      <c r="A509" s="28">
        <f t="shared" si="33"/>
        <v>45652</v>
      </c>
      <c r="B509" s="29">
        <f t="shared" si="32"/>
        <v>45652</v>
      </c>
      <c r="C509" s="30">
        <f t="shared" si="34"/>
        <v>45652</v>
      </c>
      <c r="D509" s="36">
        <f t="shared" si="31"/>
        <v>52</v>
      </c>
      <c r="E509" s="58" t="s">
        <v>39</v>
      </c>
      <c r="F509" s="38"/>
      <c r="G509" s="39"/>
      <c r="H509" s="39"/>
      <c r="I509" s="44"/>
      <c r="J509" s="35"/>
    </row>
    <row r="510" spans="1:10" ht="15" customHeight="1" x14ac:dyDescent="0.25">
      <c r="A510" s="28">
        <f t="shared" si="33"/>
        <v>45653</v>
      </c>
      <c r="B510" s="29">
        <f t="shared" si="32"/>
        <v>45653</v>
      </c>
      <c r="C510" s="30">
        <f t="shared" si="34"/>
        <v>45653</v>
      </c>
      <c r="D510" s="36">
        <f t="shared" si="31"/>
        <v>52</v>
      </c>
      <c r="E510" s="58" t="s">
        <v>39</v>
      </c>
      <c r="F510" s="41"/>
      <c r="G510" s="42"/>
      <c r="H510" s="42"/>
      <c r="I510" s="44"/>
      <c r="J510" s="35"/>
    </row>
    <row r="511" spans="1:10" ht="15" customHeight="1" x14ac:dyDescent="0.25">
      <c r="A511" s="28">
        <f t="shared" si="33"/>
        <v>45654</v>
      </c>
      <c r="B511" s="29">
        <f t="shared" si="32"/>
        <v>45654</v>
      </c>
      <c r="C511" s="30">
        <f t="shared" si="34"/>
        <v>45654</v>
      </c>
      <c r="D511" s="36">
        <f t="shared" si="31"/>
        <v>52</v>
      </c>
      <c r="E511" s="40"/>
      <c r="F511" s="41"/>
      <c r="G511" s="42"/>
      <c r="H511" s="42"/>
      <c r="I511" s="44"/>
      <c r="J511" s="35"/>
    </row>
    <row r="512" spans="1:10" ht="15" customHeight="1" x14ac:dyDescent="0.25">
      <c r="A512" s="28">
        <f t="shared" si="33"/>
        <v>45655</v>
      </c>
      <c r="B512" s="29">
        <f t="shared" si="32"/>
        <v>45655</v>
      </c>
      <c r="C512" s="30">
        <f t="shared" si="34"/>
        <v>45655</v>
      </c>
      <c r="D512" s="36">
        <f t="shared" si="31"/>
        <v>53</v>
      </c>
      <c r="E512" s="40"/>
      <c r="F512" s="41"/>
      <c r="G512" s="42"/>
      <c r="H512" s="42"/>
      <c r="I512" s="44"/>
      <c r="J512" s="35"/>
    </row>
    <row r="513" spans="1:10" x14ac:dyDescent="0.25">
      <c r="A513" s="28">
        <f t="shared" si="33"/>
        <v>45656</v>
      </c>
      <c r="B513" s="29">
        <f t="shared" si="32"/>
        <v>45656</v>
      </c>
      <c r="C513" s="30">
        <f t="shared" si="34"/>
        <v>45656</v>
      </c>
      <c r="D513" s="36">
        <f t="shared" si="31"/>
        <v>53</v>
      </c>
      <c r="E513" s="58" t="s">
        <v>39</v>
      </c>
      <c r="F513" s="38"/>
      <c r="G513" s="39"/>
      <c r="H513" s="39"/>
      <c r="I513" s="44"/>
      <c r="J513" s="35"/>
    </row>
    <row r="514" spans="1:10" x14ac:dyDescent="0.25">
      <c r="A514" s="28">
        <f t="shared" si="33"/>
        <v>45657</v>
      </c>
      <c r="B514" s="29">
        <f t="shared" si="32"/>
        <v>45657</v>
      </c>
      <c r="C514" s="30">
        <f t="shared" si="34"/>
        <v>45657</v>
      </c>
      <c r="D514" s="36">
        <f t="shared" si="31"/>
        <v>53</v>
      </c>
      <c r="E514" s="54" t="s">
        <v>33</v>
      </c>
      <c r="F514" s="66"/>
      <c r="G514" s="56"/>
      <c r="H514" s="56"/>
      <c r="I514" s="44"/>
      <c r="J514" s="35"/>
    </row>
  </sheetData>
  <autoFilter ref="A3:H514" xr:uid="{86AE9742-9EED-4547-842A-F98704D27CC9}"/>
  <conditionalFormatting sqref="B4:B514">
    <cfRule type="expression" dxfId="1190" priority="634">
      <formula>OR($E4=VACACIONES)</formula>
    </cfRule>
  </conditionalFormatting>
  <conditionalFormatting sqref="B4:C4 B5:B24 B25:D514 D4:E6 C5:C15 C16:D24 E75:E76 E123:E124 E215 E217:E218 E221 E234:E235 E256:E257 E323:E325 E330:E333 E372:E385 E407:E411 E414 E416:E421 E423:E425 E442:E447 E449 E461:E464 E471:E472 E488:E489 E491:E500 E502:E503 E289 D7:D15 E178:E179 E196:E197 E254 E308:E310 E340 E342 E344:E348 E351 E486">
    <cfRule type="timePeriod" dxfId="1189" priority="635" timePeriod="today">
      <formula>FLOOR(B4,1)=TODAY()</formula>
    </cfRule>
  </conditionalFormatting>
  <conditionalFormatting sqref="B4:C514 D5 E38:H41 E94:E96 E99:E100 E118:E119 E128:E129 E131:E132 E215 E221 E250 E315:H323 E331:H332 E338:H339 E358:H360 E363 E364:H366 E395:H399 E401:H404 E407:H411 E414:H414 E416:E418 E419:H425 E429 E431 E433:H435 E442:H442 E444:H447 E449:H450 E452:H455 E458:H458 E461:H464 E471:H474 E477:H479 E488:H489 E491:H492 E493 E494:H497 E499:H500 E502:H506 E509:H513 E75:H76 E89:H90 E123:H124 E168:H169 E217:H218 E234:H235 E256:H257 E244:H245 E264:H265 F313:H313 E370:H376 E378:H381 E383:H389 E391:H392 F432:H432">
    <cfRule type="expression" dxfId="1188" priority="633">
      <formula>OR($E4="VACACIONES",$E4="ENFERMEDAD")</formula>
    </cfRule>
  </conditionalFormatting>
  <conditionalFormatting sqref="C4:D514">
    <cfRule type="expression" dxfId="1187" priority="630">
      <formula>OR(WEEKDAY(B4,1)=7,WEEKDAY(B4,1)=1)</formula>
    </cfRule>
  </conditionalFormatting>
  <conditionalFormatting sqref="D4">
    <cfRule type="expression" dxfId="1186" priority="624">
      <formula>OR($E4="VACACIONES",$E4="ENFERMEDAD")</formula>
    </cfRule>
  </conditionalFormatting>
  <conditionalFormatting sqref="E7:E17">
    <cfRule type="timePeriod" dxfId="1185" priority="623" timePeriod="today">
      <formula>FLOOR(E7,1)=TODAY()</formula>
    </cfRule>
  </conditionalFormatting>
  <conditionalFormatting sqref="E11:E18">
    <cfRule type="timePeriod" dxfId="1184" priority="620" timePeriod="today">
      <formula>FLOOR(E11,1)=TODAY()</formula>
    </cfRule>
  </conditionalFormatting>
  <conditionalFormatting sqref="E21">
    <cfRule type="timePeriod" dxfId="1183" priority="619" timePeriod="today">
      <formula>FLOOR(E21,1)=TODAY()</formula>
    </cfRule>
  </conditionalFormatting>
  <conditionalFormatting sqref="E21:E22 E24">
    <cfRule type="timePeriod" dxfId="1182" priority="616" timePeriod="today">
      <formula>FLOOR(E21,1)=TODAY()</formula>
    </cfRule>
  </conditionalFormatting>
  <conditionalFormatting sqref="E22:E27">
    <cfRule type="timePeriod" dxfId="1181" priority="611" timePeriod="today">
      <formula>FLOOR(E22,1)=TODAY()</formula>
    </cfRule>
  </conditionalFormatting>
  <conditionalFormatting sqref="E26">
    <cfRule type="timePeriod" dxfId="1178" priority="608" timePeriod="today">
      <formula>FLOOR(E26,1)=TODAY()</formula>
    </cfRule>
    <cfRule type="expression" dxfId="1179" priority="609">
      <formula>OR(WEEKDAY(B26,1)=7,WEEKDAY(B26,1)=1)</formula>
    </cfRule>
    <cfRule type="expression" dxfId="1180" priority="610">
      <formula>OR($E26="VACACIONES",$E26="ENFERMEDAD")</formula>
    </cfRule>
  </conditionalFormatting>
  <conditionalFormatting sqref="E28">
    <cfRule type="timePeriod" dxfId="1177" priority="602" timePeriod="today">
      <formula>FLOOR(E28,1)=TODAY()</formula>
    </cfRule>
  </conditionalFormatting>
  <conditionalFormatting sqref="E28:E31">
    <cfRule type="timePeriod" dxfId="1176" priority="605" timePeriod="today">
      <formula>FLOOR(E28,1)=TODAY()</formula>
    </cfRule>
  </conditionalFormatting>
  <conditionalFormatting sqref="E31:E36">
    <cfRule type="timePeriod" dxfId="1175" priority="597" timePeriod="today">
      <formula>FLOOR(E31,1)=TODAY()</formula>
    </cfRule>
  </conditionalFormatting>
  <conditionalFormatting sqref="E33">
    <cfRule type="timePeriod" dxfId="1172" priority="594" timePeriod="today">
      <formula>FLOOR(E33,1)=TODAY()</formula>
    </cfRule>
    <cfRule type="expression" dxfId="1173" priority="595">
      <formula>OR(WEEKDAY(B33,1)=7,WEEKDAY(B33,1)=1)</formula>
    </cfRule>
    <cfRule type="expression" dxfId="1174" priority="596">
      <formula>OR($E33="VACACIONES",$E33="ENFERMEDAD")</formula>
    </cfRule>
  </conditionalFormatting>
  <conditionalFormatting sqref="E37">
    <cfRule type="timePeriod" dxfId="1169" priority="588" timePeriod="today">
      <formula>FLOOR(E37,1)=TODAY()</formula>
    </cfRule>
    <cfRule type="expression" dxfId="1170" priority="589">
      <formula>OR(WEEKDAY(B37,1)=7,WEEKDAY(B37,1)=1)</formula>
    </cfRule>
    <cfRule type="expression" dxfId="1171" priority="590">
      <formula>OR($E37="VACACIONES",$E37="ENFERMEDAD")</formula>
    </cfRule>
  </conditionalFormatting>
  <conditionalFormatting sqref="E37:E38">
    <cfRule type="timePeriod" dxfId="1168" priority="591" timePeriod="today">
      <formula>FLOOR(E37,1)=TODAY()</formula>
    </cfRule>
  </conditionalFormatting>
  <conditionalFormatting sqref="E41:E43">
    <cfRule type="timePeriod" dxfId="1167" priority="581" timePeriod="today">
      <formula>FLOOR(E41,1)=TODAY()</formula>
    </cfRule>
  </conditionalFormatting>
  <conditionalFormatting sqref="E43:E46">
    <cfRule type="timePeriod" dxfId="1166" priority="574" timePeriod="today">
      <formula>FLOOR(E43,1)=TODAY()</formula>
    </cfRule>
  </conditionalFormatting>
  <conditionalFormatting sqref="E47:E49">
    <cfRule type="timePeriod" dxfId="1165" priority="580" timePeriod="today">
      <formula>FLOOR(E47,1)=TODAY()</formula>
    </cfRule>
  </conditionalFormatting>
  <conditionalFormatting sqref="E48:E50">
    <cfRule type="expression" dxfId="1163" priority="578">
      <formula>OR(WEEKDAY(B48,1)=7,WEEKDAY(B48,1)=1)</formula>
    </cfRule>
    <cfRule type="expression" dxfId="1164" priority="579">
      <formula>OR($E48="VACACIONES",$E48="ENFERMEDAD")</formula>
    </cfRule>
  </conditionalFormatting>
  <conditionalFormatting sqref="E48:E54">
    <cfRule type="timePeriod" dxfId="1162" priority="577" timePeriod="today">
      <formula>FLOOR(E48,1)=TODAY()</formula>
    </cfRule>
  </conditionalFormatting>
  <conditionalFormatting sqref="E53:E57">
    <cfRule type="timePeriod" dxfId="1161" priority="569" timePeriod="today">
      <formula>FLOOR(E53,1)=TODAY()</formula>
    </cfRule>
  </conditionalFormatting>
  <conditionalFormatting sqref="E56:E60">
    <cfRule type="timePeriod" dxfId="1160" priority="564" timePeriod="today">
      <formula>FLOOR(E56,1)=TODAY()</formula>
    </cfRule>
  </conditionalFormatting>
  <conditionalFormatting sqref="E61">
    <cfRule type="timePeriod" dxfId="1159" priority="561" timePeriod="today">
      <formula>FLOOR(E61,1)=TODAY()</formula>
    </cfRule>
  </conditionalFormatting>
  <conditionalFormatting sqref="E61:E62">
    <cfRule type="timePeriod" dxfId="1158" priority="558" timePeriod="today">
      <formula>FLOOR(E61,1)=TODAY()</formula>
    </cfRule>
  </conditionalFormatting>
  <conditionalFormatting sqref="E65:E74">
    <cfRule type="timePeriod" dxfId="1157" priority="554" timePeriod="today">
      <formula>FLOOR(E65,1)=TODAY()</formula>
    </cfRule>
  </conditionalFormatting>
  <conditionalFormatting sqref="E77:E79">
    <cfRule type="timePeriod" dxfId="1156" priority="543" timePeriod="today">
      <formula>FLOOR(E77,1)=TODAY()</formula>
    </cfRule>
  </conditionalFormatting>
  <conditionalFormatting sqref="E80:E81">
    <cfRule type="expression" dxfId="1154" priority="550">
      <formula>OR(WEEKDAY(B80,1)=7,WEEKDAY(B80,1)=1)</formula>
    </cfRule>
    <cfRule type="expression" dxfId="1155" priority="551">
      <formula>OR($E80="VACACIONES",$E80="ENFERMEDAD")</formula>
    </cfRule>
  </conditionalFormatting>
  <conditionalFormatting sqref="E80:E82">
    <cfRule type="timePeriod" dxfId="1153" priority="549" timePeriod="today">
      <formula>FLOOR(E80,1)=TODAY()</formula>
    </cfRule>
  </conditionalFormatting>
  <conditionalFormatting sqref="E82:E84">
    <cfRule type="expression" dxfId="1152" priority="547">
      <formula>OR(WEEKDAY(B82,1)=7,WEEKDAY(B82,1)=1)</formula>
    </cfRule>
    <cfRule type="expression" dxfId="1151" priority="548">
      <formula>OR($E82="VACACIONES",$E82="ENFERMEDAD")</formula>
    </cfRule>
  </conditionalFormatting>
  <conditionalFormatting sqref="E82:E88">
    <cfRule type="timePeriod" dxfId="1150" priority="540" timePeriod="today">
      <formula>FLOOR(E82,1)=TODAY()</formula>
    </cfRule>
  </conditionalFormatting>
  <conditionalFormatting sqref="E91:E93">
    <cfRule type="timePeriod" dxfId="1149" priority="526" timePeriod="today">
      <formula>FLOOR(E91,1)=TODAY()</formula>
    </cfRule>
  </conditionalFormatting>
  <conditionalFormatting sqref="E93">
    <cfRule type="timePeriod" dxfId="1148" priority="523" timePeriod="today">
      <formula>FLOOR(E93,1)=TODAY()</formula>
    </cfRule>
    <cfRule type="expression" dxfId="1146" priority="524">
      <formula>OR(WEEKDAY(B93,1)=7,WEEKDAY(B93,1)=1)</formula>
    </cfRule>
    <cfRule type="expression" dxfId="1147" priority="525">
      <formula>OR($E93="VACACIONES",$E93="ENFERMEDAD")</formula>
    </cfRule>
  </conditionalFormatting>
  <conditionalFormatting sqref="E94:E102">
    <cfRule type="timePeriod" dxfId="1145" priority="532" timePeriod="today">
      <formula>FLOOR(E94,1)=TODAY()</formula>
    </cfRule>
  </conditionalFormatting>
  <conditionalFormatting sqref="E98">
    <cfRule type="timePeriod" dxfId="1142" priority="529" timePeriod="today">
      <formula>FLOOR(E98,1)=TODAY()</formula>
    </cfRule>
    <cfRule type="expression" dxfId="1144" priority="530">
      <formula>OR(WEEKDAY(B98,1)=7,WEEKDAY(B98,1)=1)</formula>
    </cfRule>
    <cfRule type="expression" dxfId="1143" priority="531">
      <formula>OR($E98="VACACIONES",$E98="ENFERMEDAD")</formula>
    </cfRule>
  </conditionalFormatting>
  <conditionalFormatting sqref="E103:E105">
    <cfRule type="timePeriod" dxfId="1141" priority="518" timePeriod="today">
      <formula>FLOOR(E103,1)=TODAY()</formula>
    </cfRule>
  </conditionalFormatting>
  <conditionalFormatting sqref="E105:E112">
    <cfRule type="timePeriod" dxfId="1140" priority="515" timePeriod="today">
      <formula>FLOOR(E105,1)=TODAY()</formula>
    </cfRule>
  </conditionalFormatting>
  <conditionalFormatting sqref="E115:E118">
    <cfRule type="timePeriod" dxfId="1139" priority="510" timePeriod="today">
      <formula>FLOOR(E115,1)=TODAY()</formula>
    </cfRule>
  </conditionalFormatting>
  <conditionalFormatting sqref="E117">
    <cfRule type="timePeriod" dxfId="1137" priority="507" timePeriod="today">
      <formula>FLOOR(E117,1)=TODAY()</formula>
    </cfRule>
    <cfRule type="expression" dxfId="1136" priority="508">
      <formula>OR(WEEKDAY(B117,1)=7,WEEKDAY(B117,1)=1)</formula>
    </cfRule>
    <cfRule type="expression" dxfId="1138" priority="509">
      <formula>OR($E117="VACACIONES",$E117="ENFERMEDAD")</formula>
    </cfRule>
  </conditionalFormatting>
  <conditionalFormatting sqref="E119:E121">
    <cfRule type="timePeriod" dxfId="1135" priority="502" timePeriod="today">
      <formula>FLOOR(E119,1)=TODAY()</formula>
    </cfRule>
  </conditionalFormatting>
  <conditionalFormatting sqref="E121:E122">
    <cfRule type="timePeriod" dxfId="1134" priority="497" timePeriod="today">
      <formula>FLOOR(E121,1)=TODAY()</formula>
    </cfRule>
    <cfRule type="expression" dxfId="1133" priority="501">
      <formula>OR($E121="VACACIONES",$E121="ENFERMEDAD")</formula>
    </cfRule>
  </conditionalFormatting>
  <conditionalFormatting sqref="E125:E128">
    <cfRule type="timePeriod" dxfId="1132" priority="488" timePeriod="today">
      <formula>FLOOR(E125,1)=TODAY()</formula>
    </cfRule>
  </conditionalFormatting>
  <conditionalFormatting sqref="E127">
    <cfRule type="expression" dxfId="1131" priority="486">
      <formula>OR(WEEKDAY(B127,1)=7,WEEKDAY(B127,1)=1)</formula>
    </cfRule>
    <cfRule type="expression" dxfId="1130" priority="487">
      <formula>OR($E127="VACACIONES",$E127="ENFERMEDAD")</formula>
    </cfRule>
  </conditionalFormatting>
  <conditionalFormatting sqref="E127:E132">
    <cfRule type="timePeriod" dxfId="1129" priority="477" timePeriod="today">
      <formula>FLOOR(E127,1)=TODAY()</formula>
    </cfRule>
  </conditionalFormatting>
  <conditionalFormatting sqref="E135:E137">
    <cfRule type="timePeriod" dxfId="1128" priority="471" timePeriod="today">
      <formula>FLOOR(E135,1)=TODAY()</formula>
    </cfRule>
  </conditionalFormatting>
  <conditionalFormatting sqref="E138:E141">
    <cfRule type="timePeriod" dxfId="1127" priority="474" timePeriod="today">
      <formula>FLOOR(E138,1)=TODAY()</formula>
    </cfRule>
  </conditionalFormatting>
  <conditionalFormatting sqref="E142:E145">
    <cfRule type="timePeriod" dxfId="1126" priority="464" timePeriod="today">
      <formula>FLOOR(E142,1)=TODAY()</formula>
    </cfRule>
  </conditionalFormatting>
  <conditionalFormatting sqref="E146:E147">
    <cfRule type="timePeriod" dxfId="1125" priority="460" timePeriod="today">
      <formula>FLOOR(E146,1)=TODAY()</formula>
    </cfRule>
  </conditionalFormatting>
  <conditionalFormatting sqref="E148:E150">
    <cfRule type="timePeriod" dxfId="1124" priority="457" timePeriod="today">
      <formula>FLOOR(E148,1)=TODAY()</formula>
    </cfRule>
  </conditionalFormatting>
  <conditionalFormatting sqref="E153:E163">
    <cfRule type="timePeriod" dxfId="1123" priority="446" timePeriod="today">
      <formula>FLOOR(E153,1)=TODAY()</formula>
    </cfRule>
  </conditionalFormatting>
  <conditionalFormatting sqref="E163:E167">
    <cfRule type="timePeriod" dxfId="1122" priority="436" timePeriod="today">
      <formula>FLOOR(E163,1)=TODAY()</formula>
    </cfRule>
  </conditionalFormatting>
  <conditionalFormatting sqref="E170:E173">
    <cfRule type="timePeriod" dxfId="1121" priority="433" timePeriod="today">
      <formula>FLOOR(E170,1)=TODAY()</formula>
    </cfRule>
  </conditionalFormatting>
  <conditionalFormatting sqref="E174:E177">
    <cfRule type="timePeriod" dxfId="1120" priority="427" timePeriod="today">
      <formula>FLOOR(E174,1)=TODAY()</formula>
    </cfRule>
  </conditionalFormatting>
  <conditionalFormatting sqref="E180:E184">
    <cfRule type="timePeriod" dxfId="1119" priority="423" timePeriod="today">
      <formula>FLOOR(E180,1)=TODAY()</formula>
    </cfRule>
  </conditionalFormatting>
  <conditionalFormatting sqref="E188:E191">
    <cfRule type="timePeriod" dxfId="1118" priority="417" timePeriod="today">
      <formula>FLOOR(E188,1)=TODAY()</formula>
    </cfRule>
  </conditionalFormatting>
  <conditionalFormatting sqref="E192:E194">
    <cfRule type="timePeriod" dxfId="1117" priority="414" timePeriod="today">
      <formula>FLOOR(E192,1)=TODAY()</formula>
    </cfRule>
  </conditionalFormatting>
  <conditionalFormatting sqref="E195">
    <cfRule type="timePeriod" dxfId="1116" priority="411" timePeriod="today">
      <formula>FLOOR(E195,1)=TODAY()</formula>
    </cfRule>
  </conditionalFormatting>
  <conditionalFormatting sqref="E198:E200">
    <cfRule type="timePeriod" dxfId="1115" priority="408" timePeriod="today">
      <formula>FLOOR(E198,1)=TODAY()</formula>
    </cfRule>
  </conditionalFormatting>
  <conditionalFormatting sqref="E201">
    <cfRule type="timePeriod" dxfId="1114" priority="426" timePeriod="today">
      <formula>FLOOR(E201,1)=TODAY()</formula>
    </cfRule>
  </conditionalFormatting>
  <conditionalFormatting sqref="E202:E205">
    <cfRule type="timePeriod" dxfId="1113" priority="405" timePeriod="today">
      <formula>FLOOR(E202,1)=TODAY()</formula>
    </cfRule>
  </conditionalFormatting>
  <conditionalFormatting sqref="E208:E211">
    <cfRule type="timePeriod" dxfId="1112" priority="397" timePeriod="today">
      <formula>FLOOR(E208,1)=TODAY()</formula>
    </cfRule>
  </conditionalFormatting>
  <conditionalFormatting sqref="E212">
    <cfRule type="expression" dxfId="1111" priority="391">
      <formula>OR($E212="VACACIONES",$E212="ENFERMEDAD")</formula>
    </cfRule>
  </conditionalFormatting>
  <conditionalFormatting sqref="E212:E216">
    <cfRule type="timePeriod" dxfId="1110" priority="384" timePeriod="today">
      <formula>FLOOR(E212,1)=TODAY()</formula>
    </cfRule>
  </conditionalFormatting>
  <conditionalFormatting sqref="E216">
    <cfRule type="expression" dxfId="1108" priority="385">
      <formula>OR(WEEKDAY(B216,1)=7,WEEKDAY(B216,1)=1)</formula>
    </cfRule>
    <cfRule type="expression" dxfId="1109" priority="386">
      <formula>OR($E216="VACACIONES",$E216="ENFERMEDAD")</formula>
    </cfRule>
  </conditionalFormatting>
  <conditionalFormatting sqref="E219">
    <cfRule type="expression" dxfId="1107" priority="376">
      <formula>OR($E219="VACACIONES",$E219="ENFERMEDAD")</formula>
    </cfRule>
  </conditionalFormatting>
  <conditionalFormatting sqref="E219:E222">
    <cfRule type="timePeriod" dxfId="1106" priority="369" timePeriod="today">
      <formula>FLOOR(E219,1)=TODAY()</formula>
    </cfRule>
  </conditionalFormatting>
  <conditionalFormatting sqref="E222">
    <cfRule type="expression" dxfId="1105" priority="370">
      <formula>OR(WEEKDAY(B222,1)=7,WEEKDAY(B222,1)=1)</formula>
    </cfRule>
    <cfRule type="expression" dxfId="1104" priority="371">
      <formula>OR($E222="VACACIONES",$E222="ENFERMEDAD")</formula>
    </cfRule>
  </conditionalFormatting>
  <conditionalFormatting sqref="E227:E229">
    <cfRule type="timePeriod" dxfId="1103" priority="355" timePeriod="today">
      <formula>FLOOR(E227,1)=TODAY()</formula>
    </cfRule>
  </conditionalFormatting>
  <conditionalFormatting sqref="E229">
    <cfRule type="timePeriod" dxfId="1102" priority="352" timePeriod="today">
      <formula>FLOOR(E229,1)=TODAY()</formula>
    </cfRule>
  </conditionalFormatting>
  <conditionalFormatting sqref="E229:E230">
    <cfRule type="expression" dxfId="1101" priority="360">
      <formula>OR(WEEKDAY(B229,1)=7,WEEKDAY(B229,1)=1)</formula>
    </cfRule>
    <cfRule type="expression" dxfId="1100" priority="361">
      <formula>OR($E229="VACACIONES",$E229="ENFERMEDAD")</formula>
    </cfRule>
  </conditionalFormatting>
  <conditionalFormatting sqref="E230:E232">
    <cfRule type="timePeriod" dxfId="1099" priority="359" timePeriod="today">
      <formula>FLOOR(E230,1)=TODAY()</formula>
    </cfRule>
  </conditionalFormatting>
  <conditionalFormatting sqref="E232:E233">
    <cfRule type="timePeriod" dxfId="1098" priority="343" timePeriod="today">
      <formula>FLOOR(E232,1)=TODAY()</formula>
    </cfRule>
    <cfRule type="expression" dxfId="1097" priority="356">
      <formula>OR(WEEKDAY(B232,1)=7,WEEKDAY(B232,1)=1)</formula>
    </cfRule>
    <cfRule type="expression" dxfId="1096" priority="357">
      <formula>OR($E232="VACACIONES",$E232="ENFERMEDAD")</formula>
    </cfRule>
  </conditionalFormatting>
  <conditionalFormatting sqref="E236:E237">
    <cfRule type="timePeriod" dxfId="1095" priority="332" timePeriod="today">
      <formula>FLOOR(E236,1)=TODAY()</formula>
    </cfRule>
  </conditionalFormatting>
  <conditionalFormatting sqref="E238">
    <cfRule type="timePeriod" dxfId="1094" priority="336" timePeriod="today">
      <formula>FLOOR(E238,1)=TODAY()</formula>
    </cfRule>
  </conditionalFormatting>
  <conditionalFormatting sqref="E239:E241">
    <cfRule type="timePeriod" dxfId="1093" priority="331" timePeriod="today">
      <formula>FLOOR(E239,1)=TODAY()</formula>
    </cfRule>
  </conditionalFormatting>
  <conditionalFormatting sqref="E242:E243">
    <cfRule type="timePeriod" dxfId="1092" priority="325" timePeriod="today">
      <formula>FLOOR(E242,1)=TODAY()</formula>
    </cfRule>
    <cfRule type="expression" dxfId="1090" priority="326">
      <formula>OR(WEEKDAY(B242,1)=7,WEEKDAY(B242,1)=1)</formula>
    </cfRule>
    <cfRule type="expression" dxfId="1091" priority="327">
      <formula>OR($E242="VACACIONES",$E242="ENFERMEDAD")</formula>
    </cfRule>
  </conditionalFormatting>
  <conditionalFormatting sqref="E246:E250">
    <cfRule type="timePeriod" dxfId="1089" priority="309" timePeriod="today">
      <formula>FLOOR(E246,1)=TODAY()</formula>
    </cfRule>
  </conditionalFormatting>
  <conditionalFormatting sqref="E250:E255">
    <cfRule type="timePeriod" dxfId="1088" priority="296" timePeriod="today">
      <formula>FLOOR(E250,1)=TODAY()</formula>
    </cfRule>
  </conditionalFormatting>
  <conditionalFormatting sqref="E254:E255">
    <cfRule type="expression" dxfId="1086" priority="319">
      <formula>OR(WEEKDAY(B254,1)=7,WEEKDAY(B254,1)=1)</formula>
    </cfRule>
    <cfRule type="expression" dxfId="1087" priority="320">
      <formula>OR($E254="VACACIONES",$E254="ENFERMEDAD")</formula>
    </cfRule>
  </conditionalFormatting>
  <conditionalFormatting sqref="E258:E263">
    <cfRule type="timePeriod" dxfId="1085" priority="293" timePeriod="today">
      <formula>FLOOR(E258,1)=TODAY()</formula>
    </cfRule>
  </conditionalFormatting>
  <conditionalFormatting sqref="E266:E270">
    <cfRule type="timePeriod" dxfId="1084" priority="289" timePeriod="today">
      <formula>FLOOR(E266,1)=TODAY()</formula>
    </cfRule>
  </conditionalFormatting>
  <conditionalFormatting sqref="E273:E277">
    <cfRule type="timePeriod" dxfId="1083" priority="285" timePeriod="today">
      <formula>FLOOR(E273,1)=TODAY()</formula>
    </cfRule>
  </conditionalFormatting>
  <conditionalFormatting sqref="E280">
    <cfRule type="timePeriod" dxfId="1082" priority="632" timePeriod="today">
      <formula>FLOOR(E280,1)=TODAY()</formula>
    </cfRule>
  </conditionalFormatting>
  <conditionalFormatting sqref="E280:E284">
    <cfRule type="expression" dxfId="1081" priority="282">
      <formula>OR($E280="VACACIONES",$E280="ENFERMEDAD")</formula>
    </cfRule>
  </conditionalFormatting>
  <conditionalFormatting sqref="E290:E293">
    <cfRule type="timePeriod" dxfId="1080" priority="283" timePeriod="today">
      <formula>FLOOR(E290,1)=TODAY()</formula>
    </cfRule>
  </conditionalFormatting>
  <conditionalFormatting sqref="E294:E299">
    <cfRule type="timePeriod" dxfId="1079" priority="276" timePeriod="today">
      <formula>FLOOR(E294,1)=TODAY()</formula>
    </cfRule>
  </conditionalFormatting>
  <conditionalFormatting sqref="E299">
    <cfRule type="expression" dxfId="1077" priority="280">
      <formula>OR(WEEKDAY(B299,1)=7,WEEKDAY(B299,1)=1)</formula>
    </cfRule>
    <cfRule type="expression" dxfId="1078" priority="281">
      <formula>OR($E299="VACACIONES",$E299="ENFERMEDAD")</formula>
    </cfRule>
  </conditionalFormatting>
  <conditionalFormatting sqref="E302:E306">
    <cfRule type="timePeriod" dxfId="1076" priority="269" timePeriod="today">
      <formula>FLOOR(E302,1)=TODAY()</formula>
    </cfRule>
  </conditionalFormatting>
  <conditionalFormatting sqref="E307">
    <cfRule type="timePeriod" dxfId="1075" priority="265" timePeriod="today">
      <formula>FLOOR(E307,1)=TODAY()</formula>
    </cfRule>
  </conditionalFormatting>
  <conditionalFormatting sqref="E311:E312">
    <cfRule type="timePeriod" dxfId="1074" priority="264" timePeriod="today">
      <formula>FLOOR(E311,1)=TODAY()</formula>
    </cfRule>
  </conditionalFormatting>
  <conditionalFormatting sqref="E313:E314">
    <cfRule type="expression" dxfId="1072" priority="261">
      <formula>OR($E313="VACACIONES",$E313="ENFERMEDAD")</formula>
    </cfRule>
    <cfRule type="timePeriod" dxfId="1073" priority="262" timePeriod="today">
      <formula>FLOOR(E313,1)=TODAY()</formula>
    </cfRule>
  </conditionalFormatting>
  <conditionalFormatting sqref="E316:E320">
    <cfRule type="timePeriod" dxfId="1071" priority="627" timePeriod="today">
      <formula>FLOOR(E316,1)=TODAY()</formula>
    </cfRule>
  </conditionalFormatting>
  <conditionalFormatting sqref="E317:E321">
    <cfRule type="expression" dxfId="1070" priority="257">
      <formula>OR($E317="VACACIONES",$E317="ENFERMEDAD")</formula>
    </cfRule>
  </conditionalFormatting>
  <conditionalFormatting sqref="E323">
    <cfRule type="timePeriod" dxfId="1069" priority="626" timePeriod="today">
      <formula>FLOOR(E323,1)=TODAY()</formula>
    </cfRule>
  </conditionalFormatting>
  <conditionalFormatting sqref="E326:E329">
    <cfRule type="timePeriod" dxfId="1068" priority="256" timePeriod="today">
      <formula>FLOOR(E326,1)=TODAY()</formula>
    </cfRule>
  </conditionalFormatting>
  <conditionalFormatting sqref="E331">
    <cfRule type="timePeriod" dxfId="1067" priority="625" timePeriod="today">
      <formula>FLOOR(E331,1)=TODAY()</formula>
    </cfRule>
  </conditionalFormatting>
  <conditionalFormatting sqref="E334:E336">
    <cfRule type="timePeriod" dxfId="1066" priority="246" timePeriod="today">
      <formula>FLOOR(E334,1)=TODAY()</formula>
    </cfRule>
  </conditionalFormatting>
  <conditionalFormatting sqref="E337:E338">
    <cfRule type="timePeriod" dxfId="1065" priority="250" timePeriod="today">
      <formula>FLOOR(E337,1)=TODAY()</formula>
    </cfRule>
  </conditionalFormatting>
  <conditionalFormatting sqref="E341">
    <cfRule type="timePeriod" dxfId="1064" priority="240" timePeriod="today">
      <formula>FLOOR(E341,1)=TODAY()</formula>
    </cfRule>
  </conditionalFormatting>
  <conditionalFormatting sqref="E343:E360">
    <cfRule type="timePeriod" dxfId="1063" priority="231" timePeriod="today">
      <formula>FLOOR(E343,1)=TODAY()</formula>
    </cfRule>
  </conditionalFormatting>
  <conditionalFormatting sqref="E354:E355">
    <cfRule type="expression" dxfId="1062" priority="236">
      <formula>OR(WEEKDAY(B354,1)=7,WEEKDAY(B354,1)=1)</formula>
    </cfRule>
    <cfRule type="expression" dxfId="1061" priority="237">
      <formula>OR($E354="VACACIONES",$E354="ENFERMEDAD")</formula>
    </cfRule>
  </conditionalFormatting>
  <conditionalFormatting sqref="E356:E357">
    <cfRule type="expression" dxfId="1060" priority="229">
      <formula>OR(WEEKDAY(B356,1)=7,WEEKDAY(B356,1)=1)</formula>
    </cfRule>
    <cfRule type="expression" dxfId="1059" priority="230">
      <formula>OR($E356="VACACIONES",$E356="ENFERMEDAD")</formula>
    </cfRule>
  </conditionalFormatting>
  <conditionalFormatting sqref="E361:E366">
    <cfRule type="timePeriod" dxfId="1058" priority="223" timePeriod="today">
      <formula>FLOOR(E361,1)=TODAY()</formula>
    </cfRule>
  </conditionalFormatting>
  <conditionalFormatting sqref="E367:E373">
    <cfRule type="timePeriod" dxfId="1057" priority="218" timePeriod="today">
      <formula>FLOOR(E367,1)=TODAY()</formula>
    </cfRule>
  </conditionalFormatting>
  <conditionalFormatting sqref="E378:E381">
    <cfRule type="timePeriod" dxfId="1056" priority="204" timePeriod="today">
      <formula>FLOOR(E378,1)=TODAY()</formula>
    </cfRule>
  </conditionalFormatting>
  <conditionalFormatting sqref="E383:E385">
    <cfRule type="timePeriod" dxfId="1055" priority="194" timePeriod="today">
      <formula>FLOOR(E383,1)=TODAY()</formula>
    </cfRule>
  </conditionalFormatting>
  <conditionalFormatting sqref="E387:E399">
    <cfRule type="timePeriod" dxfId="1054" priority="191" timePeriod="today">
      <formula>FLOOR(E387,1)=TODAY()</formula>
    </cfRule>
  </conditionalFormatting>
  <conditionalFormatting sqref="E399">
    <cfRule type="timePeriod" dxfId="1053" priority="170" timePeriod="today">
      <formula>FLOOR(E399,1)=TODAY()</formula>
    </cfRule>
  </conditionalFormatting>
  <conditionalFormatting sqref="E400:E404">
    <cfRule type="timePeriod" dxfId="1052" priority="175" timePeriod="today">
      <formula>FLOOR(E400,1)=TODAY()</formula>
    </cfRule>
  </conditionalFormatting>
  <conditionalFormatting sqref="E405">
    <cfRule type="timePeriod" dxfId="1051" priority="146" timePeriod="today">
      <formula>FLOOR(E405,1)=TODAY()</formula>
    </cfRule>
  </conditionalFormatting>
  <conditionalFormatting sqref="E406:E411">
    <cfRule type="timePeriod" dxfId="1050" priority="160" timePeriod="today">
      <formula>FLOOR(E406,1)=TODAY()</formula>
    </cfRule>
  </conditionalFormatting>
  <conditionalFormatting sqref="E408">
    <cfRule type="timePeriod" dxfId="1049" priority="143" timePeriod="today">
      <formula>FLOOR(E408,1)=TODAY()</formula>
    </cfRule>
  </conditionalFormatting>
  <conditionalFormatting sqref="E411">
    <cfRule type="timePeriod" dxfId="1048" priority="125" timePeriod="today">
      <formula>FLOOR(E411,1)=TODAY()</formula>
    </cfRule>
  </conditionalFormatting>
  <conditionalFormatting sqref="E412:E414">
    <cfRule type="timePeriod" dxfId="1047" priority="131" timePeriod="today">
      <formula>FLOOR(E412,1)=TODAY()</formula>
    </cfRule>
  </conditionalFormatting>
  <conditionalFormatting sqref="E414">
    <cfRule type="timePeriod" dxfId="1046" priority="121" timePeriod="today">
      <formula>FLOOR(E414,1)=TODAY()</formula>
    </cfRule>
  </conditionalFormatting>
  <conditionalFormatting sqref="E415:E421">
    <cfRule type="timePeriod" dxfId="1045" priority="129" timePeriod="today">
      <formula>FLOOR(E415,1)=TODAY()</formula>
    </cfRule>
  </conditionalFormatting>
  <conditionalFormatting sqref="E426:E429">
    <cfRule type="timePeriod" dxfId="1044" priority="116" timePeriod="today">
      <formula>FLOOR(E426,1)=TODAY()</formula>
    </cfRule>
  </conditionalFormatting>
  <conditionalFormatting sqref="E427:E428">
    <cfRule type="expression" dxfId="1043" priority="109">
      <formula>OR(WEEKDAY(B427,1)=7,WEEKDAY(B427,1)=1)</formula>
    </cfRule>
    <cfRule type="expression" dxfId="1042" priority="110">
      <formula>OR($E427="VACACIONES",$E427="ENFERMEDAD")</formula>
    </cfRule>
  </conditionalFormatting>
  <conditionalFormatting sqref="E430:E431">
    <cfRule type="timePeriod" dxfId="1041" priority="113" timePeriod="today">
      <formula>FLOOR(E430,1)=TODAY()</formula>
    </cfRule>
  </conditionalFormatting>
  <conditionalFormatting sqref="E432">
    <cfRule type="expression" dxfId="1040" priority="101">
      <formula>OR(WEEKDAY(B432,1)=7,WEEKDAY(B432,1)=1)</formula>
    </cfRule>
    <cfRule type="expression" dxfId="1039" priority="102">
      <formula>OR($E432="VACACIONES",$E432="ENFERMEDAD")</formula>
    </cfRule>
  </conditionalFormatting>
  <conditionalFormatting sqref="E432:E435">
    <cfRule type="timePeriod" dxfId="1038" priority="103" timePeriod="today">
      <formula>FLOOR(E432,1)=TODAY()</formula>
    </cfRule>
  </conditionalFormatting>
  <conditionalFormatting sqref="E435">
    <cfRule type="timePeriod" dxfId="1037" priority="96" timePeriod="today">
      <formula>FLOOR(E435,1)=TODAY()</formula>
    </cfRule>
  </conditionalFormatting>
  <conditionalFormatting sqref="E436">
    <cfRule type="timePeriod" dxfId="1036" priority="100" timePeriod="today">
      <formula>FLOOR(E436,1)=TODAY()</formula>
    </cfRule>
  </conditionalFormatting>
  <conditionalFormatting sqref="E437">
    <cfRule type="timePeriod" dxfId="1035" priority="95" timePeriod="today">
      <formula>FLOOR(E437,1)=TODAY()</formula>
    </cfRule>
  </conditionalFormatting>
  <conditionalFormatting sqref="E438">
    <cfRule type="timePeriod" dxfId="1034" priority="91" timePeriod="today">
      <formula>FLOOR(E438,1)=TODAY()</formula>
    </cfRule>
  </conditionalFormatting>
  <conditionalFormatting sqref="E438:E445">
    <cfRule type="timePeriod" dxfId="1033" priority="98" timePeriod="today">
      <formula>FLOOR(E438,1)=TODAY()</formula>
    </cfRule>
  </conditionalFormatting>
  <conditionalFormatting sqref="E442:E443">
    <cfRule type="timePeriod" dxfId="1032" priority="87" timePeriod="today">
      <formula>FLOOR(E442,1)=TODAY()</formula>
    </cfRule>
  </conditionalFormatting>
  <conditionalFormatting sqref="E446:E450">
    <cfRule type="timePeriod" dxfId="1031" priority="84" timePeriod="today">
      <formula>FLOOR(E446,1)=TODAY()</formula>
    </cfRule>
  </conditionalFormatting>
  <conditionalFormatting sqref="E451:E455">
    <cfRule type="timePeriod" dxfId="1030" priority="80" timePeriod="today">
      <formula>FLOOR(E451,1)=TODAY()</formula>
    </cfRule>
  </conditionalFormatting>
  <conditionalFormatting sqref="E455">
    <cfRule type="timePeriod" dxfId="1029" priority="72" timePeriod="today">
      <formula>FLOOR(E455,1)=TODAY()</formula>
    </cfRule>
  </conditionalFormatting>
  <conditionalFormatting sqref="E456:E458">
    <cfRule type="timePeriod" dxfId="1028" priority="76" timePeriod="today">
      <formula>FLOOR(E456,1)=TODAY()</formula>
    </cfRule>
  </conditionalFormatting>
  <conditionalFormatting sqref="E458">
    <cfRule type="timePeriod" dxfId="1027" priority="71" timePeriod="today">
      <formula>FLOOR(E458,1)=TODAY()</formula>
    </cfRule>
  </conditionalFormatting>
  <conditionalFormatting sqref="E459:E460">
    <cfRule type="timePeriod" dxfId="1026" priority="74" timePeriod="today">
      <formula>FLOOR(E459,1)=TODAY()</formula>
    </cfRule>
  </conditionalFormatting>
  <conditionalFormatting sqref="E461">
    <cfRule type="timePeriod" dxfId="1025" priority="70" timePeriod="today">
      <formula>FLOOR(E461,1)=TODAY()</formula>
    </cfRule>
  </conditionalFormatting>
  <conditionalFormatting sqref="E463:E465">
    <cfRule type="timePeriod" dxfId="1024" priority="63" timePeriod="today">
      <formula>FLOOR(E463,1)=TODAY()</formula>
    </cfRule>
  </conditionalFormatting>
  <conditionalFormatting sqref="E464">
    <cfRule type="timePeriod" dxfId="1023" priority="59" timePeriod="today">
      <formula>FLOOR(E464,1)=TODAY()</formula>
    </cfRule>
  </conditionalFormatting>
  <conditionalFormatting sqref="E466">
    <cfRule type="timePeriod" dxfId="1022" priority="58" timePeriod="today">
      <formula>FLOOR(E466,1)=TODAY()</formula>
    </cfRule>
  </conditionalFormatting>
  <conditionalFormatting sqref="E467:E468">
    <cfRule type="timePeriod" dxfId="1021" priority="54" timePeriod="today">
      <formula>FLOOR(E467,1)=TODAY()</formula>
    </cfRule>
  </conditionalFormatting>
  <conditionalFormatting sqref="E467:E469">
    <cfRule type="timePeriod" dxfId="1020" priority="61" timePeriod="today">
      <formula>FLOOR(E467,1)=TODAY()</formula>
    </cfRule>
  </conditionalFormatting>
  <conditionalFormatting sqref="E470:E472">
    <cfRule type="timePeriod" dxfId="1019" priority="53" timePeriod="today">
      <formula>FLOOR(E470,1)=TODAY()</formula>
    </cfRule>
  </conditionalFormatting>
  <conditionalFormatting sqref="E474:E475">
    <cfRule type="timePeriod" dxfId="1018" priority="37" timePeriod="today">
      <formula>FLOOR(E474,1)=TODAY()</formula>
    </cfRule>
  </conditionalFormatting>
  <conditionalFormatting sqref="E476:E479">
    <cfRule type="timePeriod" dxfId="1017" priority="35" timePeriod="today">
      <formula>FLOOR(E476,1)=TODAY()</formula>
    </cfRule>
  </conditionalFormatting>
  <conditionalFormatting sqref="E477:E481">
    <cfRule type="timePeriod" dxfId="1016" priority="31" timePeriod="today">
      <formula>FLOOR(E477,1)=TODAY()</formula>
    </cfRule>
  </conditionalFormatting>
  <conditionalFormatting sqref="E482">
    <cfRule type="timePeriod" dxfId="1015" priority="27" timePeriod="today">
      <formula>FLOOR(E482,1)=TODAY()</formula>
    </cfRule>
  </conditionalFormatting>
  <conditionalFormatting sqref="E483:E484">
    <cfRule type="timePeriod" dxfId="1014" priority="29" timePeriod="today">
      <formula>FLOOR(E483,1)=TODAY()</formula>
    </cfRule>
  </conditionalFormatting>
  <conditionalFormatting sqref="E485:E489">
    <cfRule type="timePeriod" dxfId="1013" priority="19" timePeriod="today">
      <formula>FLOOR(E485,1)=TODAY()</formula>
    </cfRule>
  </conditionalFormatting>
  <conditionalFormatting sqref="E486">
    <cfRule type="timePeriod" dxfId="1012" priority="11" timePeriod="today">
      <formula>FLOOR(E486,1)=TODAY()</formula>
    </cfRule>
  </conditionalFormatting>
  <conditionalFormatting sqref="E488:E489">
    <cfRule type="timePeriod" dxfId="1011" priority="10" timePeriod="today">
      <formula>FLOOR(E488,1)=TODAY()</formula>
    </cfRule>
  </conditionalFormatting>
  <conditionalFormatting sqref="E490:E497">
    <cfRule type="timePeriod" dxfId="1010" priority="15" timePeriod="today">
      <formula>FLOOR(E490,1)=TODAY()</formula>
    </cfRule>
  </conditionalFormatting>
  <conditionalFormatting sqref="E491">
    <cfRule type="timePeriod" dxfId="1009" priority="9" timePeriod="today">
      <formula>FLOOR(E491,1)=TODAY()</formula>
    </cfRule>
  </conditionalFormatting>
  <conditionalFormatting sqref="E498:E500">
    <cfRule type="timePeriod" dxfId="1008" priority="3" timePeriod="today">
      <formula>FLOOR(E498,1)=TODAY()</formula>
    </cfRule>
  </conditionalFormatting>
  <conditionalFormatting sqref="E499:E503">
    <cfRule type="timePeriod" dxfId="1007" priority="23" timePeriod="today">
      <formula>FLOOR(E499,1)=TODAY()</formula>
    </cfRule>
  </conditionalFormatting>
  <conditionalFormatting sqref="E502:E503">
    <cfRule type="timePeriod" dxfId="1006" priority="1" timePeriod="today">
      <formula>FLOOR(E502,1)=TODAY()</formula>
    </cfRule>
  </conditionalFormatting>
  <conditionalFormatting sqref="E506">
    <cfRule type="expression" dxfId="1004" priority="42">
      <formula>OR($E506="VACACIONES",$E506="ENFERMEDAD")</formula>
    </cfRule>
    <cfRule type="timePeriod" dxfId="1005" priority="43" timePeriod="today">
      <formula>FLOOR(E506,1)=TODAY()</formula>
    </cfRule>
  </conditionalFormatting>
  <conditionalFormatting sqref="E506:E513">
    <cfRule type="timePeriod" dxfId="1003" priority="49" timePeriod="today">
      <formula>FLOOR(E506,1)=TODAY()</formula>
    </cfRule>
  </conditionalFormatting>
  <conditionalFormatting sqref="E509:E510">
    <cfRule type="expression" dxfId="1001" priority="40">
      <formula>OR($E509="VACACIONES",$E509="ENFERMEDAD")</formula>
    </cfRule>
    <cfRule type="timePeriod" dxfId="1002" priority="41" timePeriod="today">
      <formula>FLOOR(E509,1)=TODAY()</formula>
    </cfRule>
  </conditionalFormatting>
  <conditionalFormatting sqref="E513">
    <cfRule type="expression" dxfId="1000" priority="38">
      <formula>OR($E513="VACACIONES",$E513="ENFERMEDAD")</formula>
    </cfRule>
    <cfRule type="timePeriod" dxfId="999" priority="39" timePeriod="today">
      <formula>FLOOR(E513,1)=TODAY()</formula>
    </cfRule>
  </conditionalFormatting>
  <conditionalFormatting sqref="E514">
    <cfRule type="timePeriod" dxfId="998" priority="46" timePeriod="today">
      <formula>FLOOR(E514,1)=TODAY()</formula>
    </cfRule>
  </conditionalFormatting>
  <conditionalFormatting sqref="E4:F12">
    <cfRule type="expression" dxfId="997" priority="621">
      <formula>OR(WEEKDAY(B4,1)=7,WEEKDAY(B4,1)=1)</formula>
    </cfRule>
  </conditionalFormatting>
  <conditionalFormatting sqref="E13:F21">
    <cfRule type="expression" dxfId="996" priority="617">
      <formula>OR(WEEKDAY(B13,1)=7,WEEKDAY(B13,1)=1)</formula>
    </cfRule>
  </conditionalFormatting>
  <conditionalFormatting sqref="E22:F25">
    <cfRule type="expression" dxfId="995" priority="614">
      <formula>OR(WEEKDAY(B22,1)=7,WEEKDAY(B22,1)=1)</formula>
    </cfRule>
  </conditionalFormatting>
  <conditionalFormatting sqref="E27:F27">
    <cfRule type="expression" dxfId="994" priority="612">
      <formula>OR(WEEKDAY(B27,1)=7,WEEKDAY(B27,1)=1)</formula>
    </cfRule>
  </conditionalFormatting>
  <conditionalFormatting sqref="E28:F31">
    <cfRule type="expression" dxfId="993" priority="603">
      <formula>OR(WEEKDAY(B28,1)=7,WEEKDAY(B28,1)=1)</formula>
    </cfRule>
  </conditionalFormatting>
  <conditionalFormatting sqref="E32:F32">
    <cfRule type="expression" dxfId="992" priority="600">
      <formula>OR(WEEKDAY(B32,1)=7,WEEKDAY(B32,1)=1)</formula>
    </cfRule>
  </conditionalFormatting>
  <conditionalFormatting sqref="E34:F36">
    <cfRule type="expression" dxfId="991" priority="598">
      <formula>OR(WEEKDAY(B34,1)=7,WEEKDAY(B34,1)=1)</formula>
    </cfRule>
  </conditionalFormatting>
  <conditionalFormatting sqref="E42:F42">
    <cfRule type="expression" dxfId="990" priority="584">
      <formula>OR(WEEKDAY(B42,1)=7,WEEKDAY(B42,1)=1)</formula>
    </cfRule>
  </conditionalFormatting>
  <conditionalFormatting sqref="E43:F46">
    <cfRule type="expression" dxfId="989" priority="575">
      <formula>OR(WEEKDAY(B43,1)=7,WEEKDAY(B43,1)=1)</formula>
    </cfRule>
  </conditionalFormatting>
  <conditionalFormatting sqref="E47:F47">
    <cfRule type="expression" dxfId="988" priority="582">
      <formula>OR(WEEKDAY(B47,1)=7,WEEKDAY(B47,1)=1)</formula>
    </cfRule>
  </conditionalFormatting>
  <conditionalFormatting sqref="E51:F55">
    <cfRule type="expression" dxfId="987" priority="570">
      <formula>OR(WEEKDAY(B51,1)=7,WEEKDAY(B51,1)=1)</formula>
    </cfRule>
  </conditionalFormatting>
  <conditionalFormatting sqref="E56:F58">
    <cfRule type="expression" dxfId="986" priority="567">
      <formula>OR(WEEKDAY(B56,1)=7,WEEKDAY(B56,1)=1)</formula>
    </cfRule>
  </conditionalFormatting>
  <conditionalFormatting sqref="E59:F59">
    <cfRule type="expression" dxfId="985" priority="562">
      <formula>OR(WEEKDAY(B59,1)=7,WEEKDAY(B59,1)=1)</formula>
    </cfRule>
  </conditionalFormatting>
  <conditionalFormatting sqref="E60:F60">
    <cfRule type="expression" dxfId="984" priority="565">
      <formula>OR(WEEKDAY(B60,1)=7,WEEKDAY(B60,1)=1)</formula>
    </cfRule>
  </conditionalFormatting>
  <conditionalFormatting sqref="E61:F61">
    <cfRule type="expression" dxfId="983" priority="559">
      <formula>OR(WEEKDAY(B61,1)=7,WEEKDAY(B61,1)=1)</formula>
    </cfRule>
  </conditionalFormatting>
  <conditionalFormatting sqref="E62:F76">
    <cfRule type="expression" dxfId="982" priority="555">
      <formula>OR(WEEKDAY(B62,1)=7,WEEKDAY(B62,1)=1)</formula>
    </cfRule>
  </conditionalFormatting>
  <conditionalFormatting sqref="E73:F74">
    <cfRule type="expression" dxfId="981" priority="556">
      <formula>OR($E73="VACACIONES",$E73="ENFERMEDAD")</formula>
    </cfRule>
  </conditionalFormatting>
  <conditionalFormatting sqref="E77:F79">
    <cfRule type="expression" dxfId="980" priority="544">
      <formula>OR(WEEKDAY(B77,1)=7,WEEKDAY(B77,1)=1)</formula>
    </cfRule>
  </conditionalFormatting>
  <conditionalFormatting sqref="E85:F90">
    <cfRule type="expression" dxfId="979" priority="541">
      <formula>OR(WEEKDAY(B85,1)=7,WEEKDAY(B85,1)=1)</formula>
    </cfRule>
  </conditionalFormatting>
  <conditionalFormatting sqref="E91:F92">
    <cfRule type="expression" dxfId="978" priority="535">
      <formula>OR(WEEKDAY(B91,1)=7,WEEKDAY(B91,1)=1)</formula>
    </cfRule>
  </conditionalFormatting>
  <conditionalFormatting sqref="E97:F97">
    <cfRule type="expression" dxfId="977" priority="533">
      <formula>OR(WEEKDAY(B97,1)=7,WEEKDAY(B97,1)=1)</formula>
    </cfRule>
  </conditionalFormatting>
  <conditionalFormatting sqref="E101:F104">
    <cfRule type="expression" dxfId="976" priority="519">
      <formula>OR(WEEKDAY(B101,1)=7,WEEKDAY(B101,1)=1)</formula>
    </cfRule>
  </conditionalFormatting>
  <conditionalFormatting sqref="E105:F114">
    <cfRule type="expression" dxfId="975" priority="516">
      <formula>OR(WEEKDAY(B105,1)=7,WEEKDAY(B105,1)=1)</formula>
    </cfRule>
  </conditionalFormatting>
  <conditionalFormatting sqref="E115:F116">
    <cfRule type="expression" dxfId="974" priority="513">
      <formula>OR(WEEKDAY(B115,1)=7,WEEKDAY(B115,1)=1)</formula>
    </cfRule>
  </conditionalFormatting>
  <conditionalFormatting sqref="E120:F120">
    <cfRule type="expression" dxfId="973" priority="511">
      <formula>OR(WEEKDAY(B120,1)=7,WEEKDAY(B120,1)=1)</formula>
    </cfRule>
  </conditionalFormatting>
  <conditionalFormatting sqref="E121:F124">
    <cfRule type="expression" dxfId="972" priority="498">
      <formula>OR(WEEKDAY(B121,1)=7,WEEKDAY(B121,1)=1)</formula>
    </cfRule>
  </conditionalFormatting>
  <conditionalFormatting sqref="E125:F125">
    <cfRule type="expression" dxfId="971" priority="492">
      <formula>OR($E125="VACACIONES",$E125="ENFERMEDAD")</formula>
    </cfRule>
  </conditionalFormatting>
  <conditionalFormatting sqref="E125:F128">
    <cfRule type="expression" dxfId="970" priority="491">
      <formula>OR(WEEKDAY(B125,1)=7,WEEKDAY(B125,1)=1)</formula>
    </cfRule>
  </conditionalFormatting>
  <conditionalFormatting sqref="E130:F131">
    <cfRule type="expression" dxfId="969" priority="493">
      <formula>OR(WEEKDAY(B130,1)=7,WEEKDAY(B130,1)=1)</formula>
    </cfRule>
  </conditionalFormatting>
  <conditionalFormatting sqref="E133:F141">
    <cfRule type="expression" dxfId="968" priority="472">
      <formula>OR(WEEKDAY(B133,1)=7,WEEKDAY(B133,1)=1)</formula>
    </cfRule>
  </conditionalFormatting>
  <conditionalFormatting sqref="E142:F142">
    <cfRule type="expression" dxfId="967" priority="469">
      <formula>OR($E142="VACACIONES",$E142="ENFERMEDAD")</formula>
    </cfRule>
  </conditionalFormatting>
  <conditionalFormatting sqref="E142:F143">
    <cfRule type="expression" dxfId="966" priority="468">
      <formula>OR(WEEKDAY(B142,1)=7,WEEKDAY(B142,1)=1)</formula>
    </cfRule>
  </conditionalFormatting>
  <conditionalFormatting sqref="E144:F144">
    <cfRule type="expression" dxfId="965" priority="461">
      <formula>OR(WEEKDAY(B144,1)=7,WEEKDAY(B144,1)=1)</formula>
    </cfRule>
  </conditionalFormatting>
  <conditionalFormatting sqref="E145:F145">
    <cfRule type="expression" dxfId="963" priority="465">
      <formula>OR(WEEKDAY(B145,1)=7,WEEKDAY(B145,1)=1)</formula>
    </cfRule>
    <cfRule type="expression" dxfId="964" priority="466">
      <formula>OR($E145="VACACIONES",$E145="ENFERMEDAD")</formula>
    </cfRule>
  </conditionalFormatting>
  <conditionalFormatting sqref="E146:F152">
    <cfRule type="expression" dxfId="962" priority="458">
      <formula>OR(WEEKDAY(B146,1)=7,WEEKDAY(B146,1)=1)</formula>
    </cfRule>
  </conditionalFormatting>
  <conditionalFormatting sqref="E153:F153">
    <cfRule type="expression" dxfId="961" priority="454">
      <formula>OR($E153="VACACIONES",$E153="ENFERMEDAD")</formula>
    </cfRule>
  </conditionalFormatting>
  <conditionalFormatting sqref="E153:F154">
    <cfRule type="expression" dxfId="960" priority="453">
      <formula>OR(WEEKDAY(B153,1)=7,WEEKDAY(B153,1)=1)</formula>
    </cfRule>
  </conditionalFormatting>
  <conditionalFormatting sqref="E155:F155">
    <cfRule type="expression" dxfId="959" priority="443">
      <formula>OR(WEEKDAY(B155,1)=7,WEEKDAY(B155,1)=1)</formula>
    </cfRule>
  </conditionalFormatting>
  <conditionalFormatting sqref="E156:F156">
    <cfRule type="expression" dxfId="958" priority="451">
      <formula>OR($E156="VACACIONES",$E156="ENFERMEDAD")</formula>
    </cfRule>
  </conditionalFormatting>
  <conditionalFormatting sqref="E156:F157">
    <cfRule type="expression" dxfId="957" priority="450">
      <formula>OR(WEEKDAY(B156,1)=7,WEEKDAY(B156,1)=1)</formula>
    </cfRule>
  </conditionalFormatting>
  <conditionalFormatting sqref="E158:F159">
    <cfRule type="expression" dxfId="956" priority="441">
      <formula>OR(WEEKDAY(B158,1)=7,WEEKDAY(B158,1)=1)</formula>
    </cfRule>
  </conditionalFormatting>
  <conditionalFormatting sqref="E160:F160">
    <cfRule type="expression" dxfId="954" priority="447">
      <formula>OR(WEEKDAY(B160,1)=7,WEEKDAY(B160,1)=1)</formula>
    </cfRule>
    <cfRule type="expression" dxfId="955" priority="448">
      <formula>OR($E160="VACACIONES",$E160="ENFERMEDAD")</formula>
    </cfRule>
  </conditionalFormatting>
  <conditionalFormatting sqref="E161:F169">
    <cfRule type="expression" dxfId="953" priority="438">
      <formula>OR(WEEKDAY(B161,1)=7,WEEKDAY(B161,1)=1)</formula>
    </cfRule>
  </conditionalFormatting>
  <conditionalFormatting sqref="E167:F167">
    <cfRule type="expression" dxfId="952" priority="439">
      <formula>OR($E167="VACACIONES",$E167="ENFERMEDAD")</formula>
    </cfRule>
  </conditionalFormatting>
  <conditionalFormatting sqref="E170:F171">
    <cfRule type="expression" dxfId="951" priority="434">
      <formula>OR(WEEKDAY(B170,1)=7,WEEKDAY(B170,1)=1)</formula>
    </cfRule>
  </conditionalFormatting>
  <conditionalFormatting sqref="E172:F179">
    <cfRule type="expression" dxfId="950" priority="429">
      <formula>OR(WEEKDAY(B172,1)=7,WEEKDAY(B172,1)=1)</formula>
    </cfRule>
  </conditionalFormatting>
  <conditionalFormatting sqref="E174:F174">
    <cfRule type="expression" dxfId="949" priority="430">
      <formula>OR($E174="VACACIONES",$E174="ENFERMEDAD")</formula>
    </cfRule>
  </conditionalFormatting>
  <conditionalFormatting sqref="E180:F182">
    <cfRule type="expression" dxfId="948" priority="424">
      <formula>OR(WEEKDAY(B180,1)=7,WEEKDAY(B180,1)=1)</formula>
    </cfRule>
  </conditionalFormatting>
  <conditionalFormatting sqref="E183:F190">
    <cfRule type="expression" dxfId="947" priority="419">
      <formula>OR(WEEKDAY(B183,1)=7,WEEKDAY(B183,1)=1)</formula>
    </cfRule>
  </conditionalFormatting>
  <conditionalFormatting sqref="E188:F189">
    <cfRule type="expression" dxfId="946" priority="420">
      <formula>OR($E188="VACACIONES",$E188="ENFERMEDAD")</formula>
    </cfRule>
  </conditionalFormatting>
  <conditionalFormatting sqref="E191:F193">
    <cfRule type="expression" dxfId="945" priority="415">
      <formula>OR(WEEKDAY(B191,1)=7,WEEKDAY(B191,1)=1)</formula>
    </cfRule>
  </conditionalFormatting>
  <conditionalFormatting sqref="E194:F197">
    <cfRule type="expression" dxfId="944" priority="412">
      <formula>OR(WEEKDAY(B194,1)=7,WEEKDAY(B194,1)=1)</formula>
    </cfRule>
  </conditionalFormatting>
  <conditionalFormatting sqref="E198:F201">
    <cfRule type="expression" dxfId="943" priority="409">
      <formula>OR(WEEKDAY(B198,1)=7,WEEKDAY(B198,1)=1)</formula>
    </cfRule>
  </conditionalFormatting>
  <conditionalFormatting sqref="E202:F205">
    <cfRule type="expression" dxfId="942" priority="406">
      <formula>OR(WEEKDAY(B202,1)=7,WEEKDAY(B202,1)=1)</formula>
    </cfRule>
  </conditionalFormatting>
  <conditionalFormatting sqref="E206:F210">
    <cfRule type="expression" dxfId="941" priority="398">
      <formula>OR(WEEKDAY(B206,1)=7,WEEKDAY(B206,1)=1)</formula>
    </cfRule>
  </conditionalFormatting>
  <conditionalFormatting sqref="E210:F210">
    <cfRule type="expression" dxfId="940" priority="404">
      <formula>OR($E210="VACACIONES",$E210="ENFERMEDAD")</formula>
    </cfRule>
  </conditionalFormatting>
  <conditionalFormatting sqref="E211:F211">
    <cfRule type="expression" dxfId="939" priority="396">
      <formula>OR($E211="VACACIONES",$E211="ENFERMEDAD")</formula>
    </cfRule>
  </conditionalFormatting>
  <conditionalFormatting sqref="E211:F212">
    <cfRule type="expression" dxfId="938" priority="390">
      <formula>OR(WEEKDAY(B211,1)=7,WEEKDAY(B211,1)=1)</formula>
    </cfRule>
  </conditionalFormatting>
  <conditionalFormatting sqref="E213:F215">
    <cfRule type="expression" dxfId="937" priority="402">
      <formula>OR(WEEKDAY(B213,1)=7,WEEKDAY(B213,1)=1)</formula>
    </cfRule>
    <cfRule type="expression" dxfId="936" priority="403">
      <formula>OR($E213="VACACIONES",$E213="ENFERMEDAD")</formula>
    </cfRule>
  </conditionalFormatting>
  <conditionalFormatting sqref="E217:F219">
    <cfRule type="expression" dxfId="935" priority="375">
      <formula>OR(WEEKDAY(B217,1)=7,WEEKDAY(B217,1)=1)</formula>
    </cfRule>
  </conditionalFormatting>
  <conditionalFormatting sqref="E220:F221">
    <cfRule type="expression" dxfId="934" priority="382">
      <formula>OR(WEEKDAY(B220,1)=7,WEEKDAY(B220,1)=1)</formula>
    </cfRule>
    <cfRule type="expression" dxfId="933" priority="383">
      <formula>OR($E220="VACACIONES",$E220="ENFERMEDAD")</formula>
    </cfRule>
  </conditionalFormatting>
  <conditionalFormatting sqref="E223:F228">
    <cfRule type="expression" dxfId="932" priority="363">
      <formula>OR(WEEKDAY(B223,1)=7,WEEKDAY(B223,1)=1)</formula>
    </cfRule>
  </conditionalFormatting>
  <conditionalFormatting sqref="E228:F228">
    <cfRule type="expression" dxfId="931" priority="368">
      <formula>OR($E228="VACACIONES",$E228="ENFERMEDAD")</formula>
    </cfRule>
  </conditionalFormatting>
  <conditionalFormatting sqref="E229:F229">
    <cfRule type="expression" dxfId="929" priority="353">
      <formula>OR(WEEKDAY(B229,1)=7,WEEKDAY(B229,1)=1)</formula>
    </cfRule>
    <cfRule type="expression" dxfId="930" priority="354">
      <formula>OR($E229="VACACIONES",$E229="ENFERMEDAD")</formula>
    </cfRule>
  </conditionalFormatting>
  <conditionalFormatting sqref="E231:F231">
    <cfRule type="expression" dxfId="928" priority="366">
      <formula>OR(WEEKDAY(B231,1)=7,WEEKDAY(B231,1)=1)</formula>
    </cfRule>
    <cfRule type="expression" dxfId="927" priority="367">
      <formula>OR($E231="VACACIONES",$E231="ENFERMEDAD")</formula>
    </cfRule>
  </conditionalFormatting>
  <conditionalFormatting sqref="E232:F232">
    <cfRule type="expression" dxfId="925" priority="344">
      <formula>OR(WEEKDAY(B232,1)=7,WEEKDAY(B232,1)=1)</formula>
    </cfRule>
    <cfRule type="expression" dxfId="926" priority="345">
      <formula>OR($E232="VACACIONES",$E232="ENFERMEDAD")</formula>
    </cfRule>
  </conditionalFormatting>
  <conditionalFormatting sqref="E234:F240">
    <cfRule type="expression" dxfId="924" priority="333">
      <formula>OR(WEEKDAY(B234,1)=7,WEEKDAY(B234,1)=1)</formula>
    </cfRule>
  </conditionalFormatting>
  <conditionalFormatting sqref="E240:F240">
    <cfRule type="expression" dxfId="923" priority="335">
      <formula>OR($E240="VACACIONES",$E240="ENFERMEDAD")</formula>
    </cfRule>
  </conditionalFormatting>
  <conditionalFormatting sqref="E241:F241">
    <cfRule type="expression" dxfId="922" priority="329">
      <formula>OR(WEEKDAY(B241,1)=7,WEEKDAY(B241,1)=1)</formula>
    </cfRule>
    <cfRule type="expression" dxfId="921" priority="330">
      <formula>OR($E241="VACACIONES",$E241="ENFERMEDAD")</formula>
    </cfRule>
  </conditionalFormatting>
  <conditionalFormatting sqref="E244:F249">
    <cfRule type="expression" dxfId="920" priority="310">
      <formula>OR(WEEKDAY(B244,1)=7,WEEKDAY(B244,1)=1)</formula>
    </cfRule>
  </conditionalFormatting>
  <conditionalFormatting sqref="E246:F249">
    <cfRule type="expression" dxfId="919" priority="311">
      <formula>OR($E246="VACACIONES",$E246="ENFERMEDAD")</formula>
    </cfRule>
  </conditionalFormatting>
  <conditionalFormatting sqref="E250:F250">
    <cfRule type="expression" dxfId="918" priority="307">
      <formula>OR($E250="VACACIONES",$E250="ENFERMEDAD")</formula>
    </cfRule>
  </conditionalFormatting>
  <conditionalFormatting sqref="E250:F252">
    <cfRule type="expression" dxfId="917" priority="306">
      <formula>OR(WEEKDAY(B250,1)=7,WEEKDAY(B250,1)=1)</formula>
    </cfRule>
  </conditionalFormatting>
  <conditionalFormatting sqref="E253:F253">
    <cfRule type="expression" dxfId="916" priority="298">
      <formula>OR(WEEKDAY(B253,1)=7,WEEKDAY(B253,1)=1)</formula>
    </cfRule>
  </conditionalFormatting>
  <conditionalFormatting sqref="E254:F254">
    <cfRule type="expression" dxfId="915" priority="317">
      <formula>OR(WEEKDAY(B254,1)=7,WEEKDAY(B254,1)=1)</formula>
    </cfRule>
    <cfRule type="expression" dxfId="914" priority="318">
      <formula>OR($E254="VACACIONES",$E254="ENFERMEDAD")</formula>
    </cfRule>
  </conditionalFormatting>
  <conditionalFormatting sqref="E256:F265">
    <cfRule type="expression" dxfId="913" priority="294">
      <formula>OR(WEEKDAY(B256,1)=7,WEEKDAY(B256,1)=1)</formula>
    </cfRule>
  </conditionalFormatting>
  <conditionalFormatting sqref="E258:F263">
    <cfRule type="expression" dxfId="912" priority="295">
      <formula>OR($E258="VACACIONES",$E258="ENFERMEDAD")</formula>
    </cfRule>
  </conditionalFormatting>
  <conditionalFormatting sqref="E266:F272">
    <cfRule type="expression" dxfId="911" priority="290">
      <formula>OR(WEEKDAY(B266,1)=7,WEEKDAY(B266,1)=1)</formula>
    </cfRule>
  </conditionalFormatting>
  <conditionalFormatting sqref="E273:F289">
    <cfRule type="expression" dxfId="910" priority="286">
      <formula>OR(WEEKDAY(B273,1)=7,WEEKDAY(B273,1)=1)</formula>
    </cfRule>
  </conditionalFormatting>
  <conditionalFormatting sqref="E276:F277">
    <cfRule type="expression" dxfId="909" priority="287">
      <formula>OR($E276="VACACIONES",$E276="ENFERMEDAD")</formula>
    </cfRule>
  </conditionalFormatting>
  <conditionalFormatting sqref="E290:F298">
    <cfRule type="expression" dxfId="908" priority="277">
      <formula>OR(WEEKDAY(B290,1)=7,WEEKDAY(B290,1)=1)</formula>
    </cfRule>
  </conditionalFormatting>
  <conditionalFormatting sqref="E297:F298">
    <cfRule type="expression" dxfId="907" priority="278">
      <formula>OR($E297="VACACIONES",$E297="ENFERMEDAD")</formula>
    </cfRule>
  </conditionalFormatting>
  <conditionalFormatting sqref="E300:F305">
    <cfRule type="expression" dxfId="906" priority="270">
      <formula>OR(WEEKDAY(B300,1)=7,WEEKDAY(B300,1)=1)</formula>
    </cfRule>
  </conditionalFormatting>
  <conditionalFormatting sqref="E305:F305">
    <cfRule type="expression" dxfId="905" priority="271">
      <formula>OR($E305="VACACIONES",$E305="ENFERMEDAD")</formula>
    </cfRule>
  </conditionalFormatting>
  <conditionalFormatting sqref="E306:F309">
    <cfRule type="expression" dxfId="904" priority="266">
      <formula>OR(WEEKDAY(B306,1)=7,WEEKDAY(B306,1)=1)</formula>
    </cfRule>
  </conditionalFormatting>
  <conditionalFormatting sqref="E310:F314">
    <cfRule type="expression" dxfId="903" priority="259">
      <formula>OR(WEEKDAY(B310,1)=7,WEEKDAY(B310,1)=1)</formula>
    </cfRule>
  </conditionalFormatting>
  <conditionalFormatting sqref="E315:F323 E331:F332 E38:F41 E94:E96 E99:E100 E118:E119 E128:E129 E131:E132 E215 E221 E250 E338:F339 E358:F360 E363 E364:F366 E395:F399 E401:F404 E407:F411 E414:F414 E416:E418 E419:F425 E429 E431 E433:F435 E442:F442 E444:F447 E449:F450 E452:F455 E458:F458 E461:F464 E471:F474 E502:F506 E509:F513 E477:F479 E499:F500 E488:F489 E491:F492 E493 E494:F497">
    <cfRule type="expression" dxfId="902" priority="629">
      <formula>OR(WEEKDAY(B38,1)=7,WEEKDAY(B38,1)=1)</formula>
    </cfRule>
  </conditionalFormatting>
  <conditionalFormatting sqref="E324:F330">
    <cfRule type="expression" dxfId="901" priority="253">
      <formula>OR(WEEKDAY(B324,1)=7,WEEKDAY(B324,1)=1)</formula>
    </cfRule>
  </conditionalFormatting>
  <conditionalFormatting sqref="E330:F330">
    <cfRule type="expression" dxfId="900" priority="254">
      <formula>OR($E330="VACACIONES",$E330="ENFERMEDAD")</formula>
    </cfRule>
  </conditionalFormatting>
  <conditionalFormatting sqref="E333:F337">
    <cfRule type="expression" dxfId="899" priority="247">
      <formula>OR(WEEKDAY(B333,1)=7,WEEKDAY(B333,1)=1)</formula>
    </cfRule>
  </conditionalFormatting>
  <conditionalFormatting sqref="E334:F336">
    <cfRule type="expression" dxfId="898" priority="248">
      <formula>OR($E334="VACACIONES",$E334="ENFERMEDAD")</formula>
    </cfRule>
  </conditionalFormatting>
  <conditionalFormatting sqref="E340:F342">
    <cfRule type="expression" dxfId="897" priority="241">
      <formula>OR(WEEKDAY(B340,1)=7,WEEKDAY(B340,1)=1)</formula>
    </cfRule>
  </conditionalFormatting>
  <conditionalFormatting sqref="E341:F341">
    <cfRule type="expression" dxfId="896" priority="242">
      <formula>OR($E341="VACACIONES",$E341="ENFERMEDAD")</formula>
    </cfRule>
  </conditionalFormatting>
  <conditionalFormatting sqref="E343:F353">
    <cfRule type="expression" dxfId="895" priority="234">
      <formula>OR(WEEKDAY(B343,1)=7,WEEKDAY(B343,1)=1)</formula>
    </cfRule>
  </conditionalFormatting>
  <conditionalFormatting sqref="E352:F353">
    <cfRule type="expression" dxfId="894" priority="235">
      <formula>OR($E352="VACACIONES",$E352="ENFERMEDAD")</formula>
    </cfRule>
  </conditionalFormatting>
  <conditionalFormatting sqref="E361:F361">
    <cfRule type="expression" dxfId="892" priority="221">
      <formula>OR(WEEKDAY(B361,1)=7,WEEKDAY(B361,1)=1)</formula>
    </cfRule>
    <cfRule type="expression" dxfId="893" priority="222">
      <formula>OR($E361="VACACIONES",$E361="ENFERMEDAD")</formula>
    </cfRule>
  </conditionalFormatting>
  <conditionalFormatting sqref="E362:F362">
    <cfRule type="expression" dxfId="891" priority="224">
      <formula>OR(WEEKDAY(B362,1)=7,WEEKDAY(B362,1)=1)</formula>
    </cfRule>
    <cfRule type="expression" dxfId="890" priority="225">
      <formula>OR($E362="VACACIONES",$E362="ENFERMEDAD")</formula>
    </cfRule>
  </conditionalFormatting>
  <conditionalFormatting sqref="E367:F369">
    <cfRule type="expression" dxfId="889" priority="220">
      <formula>OR($E367="VACACIONES",$E367="ENFERMEDAD")</formula>
    </cfRule>
  </conditionalFormatting>
  <conditionalFormatting sqref="E367:F376">
    <cfRule type="expression" dxfId="888" priority="219">
      <formula>OR(WEEKDAY(B367,1)=7,WEEKDAY(B367,1)=1)</formula>
    </cfRule>
  </conditionalFormatting>
  <conditionalFormatting sqref="E377:F377">
    <cfRule type="expression" dxfId="887" priority="208">
      <formula>OR($E377="VACACIONES",$E377="ENFERMEDAD")</formula>
    </cfRule>
  </conditionalFormatting>
  <conditionalFormatting sqref="E377:F381">
    <cfRule type="expression" dxfId="886" priority="207">
      <formula>OR(WEEKDAY(B377,1)=7,WEEKDAY(B377,1)=1)</formula>
    </cfRule>
  </conditionalFormatting>
  <conditionalFormatting sqref="E382:F382">
    <cfRule type="expression" dxfId="885" priority="197">
      <formula>OR($E382="VACACIONES",$E382="ENFERMEDAD")</formula>
    </cfRule>
  </conditionalFormatting>
  <conditionalFormatting sqref="E382:F389">
    <cfRule type="expression" dxfId="884" priority="196">
      <formula>OR(WEEKDAY(B382,1)=7,WEEKDAY(B382,1)=1)</formula>
    </cfRule>
  </conditionalFormatting>
  <conditionalFormatting sqref="E390:F390">
    <cfRule type="expression" dxfId="883" priority="193">
      <formula>OR($E390="VACACIONES",$E390="ENFERMEDAD")</formula>
    </cfRule>
  </conditionalFormatting>
  <conditionalFormatting sqref="E390:F392">
    <cfRule type="expression" dxfId="882" priority="192">
      <formula>OR(WEEKDAY(B390,1)=7,WEEKDAY(B390,1)=1)</formula>
    </cfRule>
  </conditionalFormatting>
  <conditionalFormatting sqref="E393:F394">
    <cfRule type="expression" dxfId="881" priority="188">
      <formula>OR(WEEKDAY(B393,1)=7,WEEKDAY(B393,1)=1)</formula>
    </cfRule>
  </conditionalFormatting>
  <conditionalFormatting sqref="E400:F400">
    <cfRule type="expression" dxfId="880" priority="173">
      <formula>OR(WEEKDAY(B400,1)=7,WEEKDAY(B400,1)=1)</formula>
    </cfRule>
    <cfRule type="expression" dxfId="879" priority="174">
      <formula>OR($E400="VACACIONES",$E400="ENFERMEDAD")</formula>
    </cfRule>
  </conditionalFormatting>
  <conditionalFormatting sqref="E405:F405">
    <cfRule type="expression" dxfId="878" priority="148">
      <formula>OR($E405="VACACIONES",$E405="ENFERMEDAD")</formula>
    </cfRule>
  </conditionalFormatting>
  <conditionalFormatting sqref="E405:F406">
    <cfRule type="expression" dxfId="877" priority="147">
      <formula>OR(WEEKDAY(B405,1)=7,WEEKDAY(B405,1)=1)</formula>
    </cfRule>
  </conditionalFormatting>
  <conditionalFormatting sqref="E412:F413">
    <cfRule type="expression" dxfId="876" priority="123">
      <formula>OR(WEEKDAY(B412,1)=7,WEEKDAY(B412,1)=1)</formula>
    </cfRule>
  </conditionalFormatting>
  <conditionalFormatting sqref="E413:F413">
    <cfRule type="expression" dxfId="875" priority="124">
      <formula>OR($E413="VACACIONES",$E413="ENFERMEDAD")</formula>
    </cfRule>
  </conditionalFormatting>
  <conditionalFormatting sqref="E415:F415">
    <cfRule type="expression" dxfId="873" priority="127">
      <formula>OR(WEEKDAY(B415,1)=7,WEEKDAY(B415,1)=1)</formula>
    </cfRule>
    <cfRule type="expression" dxfId="874" priority="128">
      <formula>OR($E415="VACACIONES",$E415="ENFERMEDAD")</formula>
    </cfRule>
  </conditionalFormatting>
  <conditionalFormatting sqref="E426:F426">
    <cfRule type="expression" dxfId="871" priority="114">
      <formula>OR(WEEKDAY(B426,1)=7,WEEKDAY(B426,1)=1)</formula>
    </cfRule>
    <cfRule type="expression" dxfId="872" priority="115">
      <formula>OR($E426="VACACIONES",$E426="ENFERMEDAD")</formula>
    </cfRule>
  </conditionalFormatting>
  <conditionalFormatting sqref="E430:F430">
    <cfRule type="expression" dxfId="869" priority="111">
      <formula>OR(WEEKDAY(B430,1)=7,WEEKDAY(B430,1)=1)</formula>
    </cfRule>
    <cfRule type="expression" dxfId="870" priority="112">
      <formula>OR($E430="VACACIONES",$E430="ENFERMEDAD")</formula>
    </cfRule>
  </conditionalFormatting>
  <conditionalFormatting sqref="E436:F439">
    <cfRule type="expression" dxfId="868" priority="93">
      <formula>OR(WEEKDAY(B436,1)=7,WEEKDAY(B436,1)=1)</formula>
    </cfRule>
  </conditionalFormatting>
  <conditionalFormatting sqref="E437:F437">
    <cfRule type="expression" dxfId="867" priority="94">
      <formula>OR($E437="VACACIONES",$E437="ENFERMEDAD")</formula>
    </cfRule>
  </conditionalFormatting>
  <conditionalFormatting sqref="E440:F441">
    <cfRule type="expression" dxfId="865" priority="89">
      <formula>OR(WEEKDAY(B440,1)=7,WEEKDAY(B440,1)=1)</formula>
    </cfRule>
    <cfRule type="expression" dxfId="866" priority="90">
      <formula>OR($E440="VACACIONES",$E440="ENFERMEDAD")</formula>
    </cfRule>
  </conditionalFormatting>
  <conditionalFormatting sqref="E443:F443">
    <cfRule type="expression" dxfId="864" priority="85">
      <formula>OR(WEEKDAY(B443,1)=7,WEEKDAY(B443,1)=1)</formula>
    </cfRule>
  </conditionalFormatting>
  <conditionalFormatting sqref="E448:F448">
    <cfRule type="expression" dxfId="863" priority="82">
      <formula>OR(WEEKDAY(B448,1)=7,WEEKDAY(B448,1)=1)</formula>
    </cfRule>
    <cfRule type="expression" dxfId="862" priority="83">
      <formula>OR($E448="VACACIONES",$E448="ENFERMEDAD")</formula>
    </cfRule>
  </conditionalFormatting>
  <conditionalFormatting sqref="E451:F451">
    <cfRule type="expression" dxfId="860" priority="78">
      <formula>OR(WEEKDAY(B451,1)=7,WEEKDAY(B451,1)=1)</formula>
    </cfRule>
    <cfRule type="expression" dxfId="861" priority="79">
      <formula>OR($E451="VACACIONES",$E451="ENFERMEDAD")</formula>
    </cfRule>
  </conditionalFormatting>
  <conditionalFormatting sqref="E456:F457">
    <cfRule type="expression" dxfId="859" priority="68">
      <formula>OR(WEEKDAY(B456,1)=7,WEEKDAY(B456,1)=1)</formula>
    </cfRule>
  </conditionalFormatting>
  <conditionalFormatting sqref="E457:F457">
    <cfRule type="expression" dxfId="858" priority="69">
      <formula>OR($E457="VACACIONES",$E457="ENFERMEDAD")</formula>
    </cfRule>
  </conditionalFormatting>
  <conditionalFormatting sqref="E459:F460">
    <cfRule type="expression" dxfId="857" priority="65">
      <formula>OR(WEEKDAY(B459,1)=7,WEEKDAY(B459,1)=1)</formula>
    </cfRule>
  </conditionalFormatting>
  <conditionalFormatting sqref="E460:F460">
    <cfRule type="expression" dxfId="856" priority="66">
      <formula>OR($E460="VACACIONES",$E460="ENFERMEDAD")</formula>
    </cfRule>
  </conditionalFormatting>
  <conditionalFormatting sqref="E465:F469">
    <cfRule type="expression" dxfId="855" priority="56">
      <formula>OR(WEEKDAY(B465,1)=7,WEEKDAY(B465,1)=1)</formula>
    </cfRule>
  </conditionalFormatting>
  <conditionalFormatting sqref="E466:F466">
    <cfRule type="expression" dxfId="854" priority="57">
      <formula>OR($E466="VACACIONES",$E466="ENFERMEDAD")</formula>
    </cfRule>
  </conditionalFormatting>
  <conditionalFormatting sqref="E470:F470">
    <cfRule type="expression" dxfId="853" priority="51">
      <formula>OR(WEEKDAY(B470,1)=7,WEEKDAY(B470,1)=1)</formula>
    </cfRule>
    <cfRule type="expression" dxfId="852" priority="52">
      <formula>OR($E470="VACACIONES",$E470="ENFERMEDAD")</formula>
    </cfRule>
  </conditionalFormatting>
  <conditionalFormatting sqref="E475:F476">
    <cfRule type="expression" dxfId="851" priority="33">
      <formula>OR(WEEKDAY(B475,1)=7,WEEKDAY(B475,1)=1)</formula>
    </cfRule>
  </conditionalFormatting>
  <conditionalFormatting sqref="E476:F476">
    <cfRule type="expression" dxfId="850" priority="34">
      <formula>OR($E476="VACACIONES",$E476="ENFERMEDAD")</formula>
    </cfRule>
  </conditionalFormatting>
  <conditionalFormatting sqref="E480:F486">
    <cfRule type="expression" dxfId="849" priority="25">
      <formula>OR(WEEKDAY(B480,1)=7,WEEKDAY(B480,1)=1)</formula>
    </cfRule>
  </conditionalFormatting>
  <conditionalFormatting sqref="E482:F482">
    <cfRule type="expression" dxfId="848" priority="26">
      <formula>OR($E482="VACACIONES",$E482="ENFERMEDAD")</formula>
    </cfRule>
  </conditionalFormatting>
  <conditionalFormatting sqref="E487:F487">
    <cfRule type="expression" dxfId="847" priority="17">
      <formula>OR(WEEKDAY(B487,1)=7,WEEKDAY(B487,1)=1)</formula>
    </cfRule>
    <cfRule type="expression" dxfId="846" priority="18">
      <formula>OR($E487="VACACIONES",$E487="ENFERMEDAD")</formula>
    </cfRule>
  </conditionalFormatting>
  <conditionalFormatting sqref="E490:F490">
    <cfRule type="expression" dxfId="844" priority="13">
      <formula>OR(WEEKDAY(B490,1)=7,WEEKDAY(B490,1)=1)</formula>
    </cfRule>
    <cfRule type="expression" dxfId="845" priority="14">
      <formula>OR($E490="VACACIONES",$E490="ENFERMEDAD")</formula>
    </cfRule>
  </conditionalFormatting>
  <conditionalFormatting sqref="E498:F498">
    <cfRule type="expression" dxfId="843" priority="4">
      <formula>OR(WEEKDAY(B498,1)=7,WEEKDAY(B498,1)=1)</formula>
    </cfRule>
  </conditionalFormatting>
  <conditionalFormatting sqref="E501:F501">
    <cfRule type="expression" dxfId="842" priority="21">
      <formula>OR(WEEKDAY(B501,1)=7,WEEKDAY(B501,1)=1)</formula>
    </cfRule>
    <cfRule type="expression" dxfId="841" priority="22">
      <formula>OR($E501="VACACIONES",$E501="ENFERMEDAD")</formula>
    </cfRule>
  </conditionalFormatting>
  <conditionalFormatting sqref="E507:F508">
    <cfRule type="expression" dxfId="840" priority="47">
      <formula>OR(WEEKDAY(B507,1)=7,WEEKDAY(B507,1)=1)</formula>
    </cfRule>
  </conditionalFormatting>
  <conditionalFormatting sqref="E514:F514">
    <cfRule type="expression" dxfId="839" priority="44">
      <formula>OR(WEEKDAY(B514,1)=7,WEEKDAY(B514,1)=1)</formula>
    </cfRule>
  </conditionalFormatting>
  <conditionalFormatting sqref="E4:H12">
    <cfRule type="expression" dxfId="838" priority="622">
      <formula>OR($E4="VACACIONES",$E4="ENFERMEDAD")</formula>
    </cfRule>
  </conditionalFormatting>
  <conditionalFormatting sqref="E13:H21">
    <cfRule type="expression" dxfId="837" priority="618">
      <formula>OR($E13="VACACIONES",$E13="ENFERMEDAD")</formula>
    </cfRule>
  </conditionalFormatting>
  <conditionalFormatting sqref="E22:H25">
    <cfRule type="expression" dxfId="836" priority="615">
      <formula>OR($E22="VACACIONES",$E22="ENFERMEDAD")</formula>
    </cfRule>
  </conditionalFormatting>
  <conditionalFormatting sqref="E27:H27">
    <cfRule type="expression" dxfId="835" priority="613">
      <formula>OR($E27="VACACIONES",$E27="ENFERMEDAD")</formula>
    </cfRule>
  </conditionalFormatting>
  <conditionalFormatting sqref="E28:H31">
    <cfRule type="expression" dxfId="834" priority="604">
      <formula>OR($E28="VACACIONES",$E28="ENFERMEDAD")</formula>
    </cfRule>
  </conditionalFormatting>
  <conditionalFormatting sqref="E32:H32">
    <cfRule type="expression" dxfId="833" priority="601">
      <formula>OR($E32="VACACIONES",$E32="ENFERMEDAD")</formula>
    </cfRule>
  </conditionalFormatting>
  <conditionalFormatting sqref="E34:H36">
    <cfRule type="expression" dxfId="832" priority="599">
      <formula>OR($E34="VACACIONES",$E34="ENFERMEDAD")</formula>
    </cfRule>
  </conditionalFormatting>
  <conditionalFormatting sqref="E42:H42">
    <cfRule type="expression" dxfId="831" priority="585">
      <formula>OR($E42="VACACIONES",$E42="ENFERMEDAD")</formula>
    </cfRule>
  </conditionalFormatting>
  <conditionalFormatting sqref="E43:H46">
    <cfRule type="expression" dxfId="830" priority="576">
      <formula>OR($E43="VACACIONES",$E43="ENFERMEDAD")</formula>
    </cfRule>
  </conditionalFormatting>
  <conditionalFormatting sqref="E47:H47">
    <cfRule type="expression" dxfId="829" priority="583">
      <formula>OR($E47="VACACIONES",$E47="ENFERMEDAD")</formula>
    </cfRule>
  </conditionalFormatting>
  <conditionalFormatting sqref="E51:H55">
    <cfRule type="expression" dxfId="828" priority="571">
      <formula>OR($E51="VACACIONES",$E51="ENFERMEDAD")</formula>
    </cfRule>
  </conditionalFormatting>
  <conditionalFormatting sqref="E56:H58">
    <cfRule type="expression" dxfId="827" priority="568">
      <formula>OR($E56="VACACIONES",$E56="ENFERMEDAD")</formula>
    </cfRule>
  </conditionalFormatting>
  <conditionalFormatting sqref="E59:H59">
    <cfRule type="expression" dxfId="826" priority="563">
      <formula>OR($E59="VACACIONES",$E59="ENFERMEDAD")</formula>
    </cfRule>
  </conditionalFormatting>
  <conditionalFormatting sqref="E60:H60">
    <cfRule type="expression" dxfId="825" priority="566">
      <formula>OR($E60="VACACIONES",$E60="ENFERMEDAD")</formula>
    </cfRule>
  </conditionalFormatting>
  <conditionalFormatting sqref="E61:H61">
    <cfRule type="expression" dxfId="824" priority="560">
      <formula>OR($E61="VACACIONES",$E61="ENFERMEDAD")</formula>
    </cfRule>
  </conditionalFormatting>
  <conditionalFormatting sqref="E62:H72">
    <cfRule type="expression" dxfId="823" priority="557">
      <formula>OR($E62="VACACIONES",$E62="ENFERMEDAD")</formula>
    </cfRule>
  </conditionalFormatting>
  <conditionalFormatting sqref="E77:H79">
    <cfRule type="expression" dxfId="822" priority="545">
      <formula>OR($E77="VACACIONES",$E77="ENFERMEDAD")</formula>
    </cfRule>
  </conditionalFormatting>
  <conditionalFormatting sqref="E85:H85 E86:E88">
    <cfRule type="expression" dxfId="821" priority="552">
      <formula>OR($E85="VACACIONES",$E85="ENFERMEDAD")</formula>
    </cfRule>
  </conditionalFormatting>
  <conditionalFormatting sqref="E91:H92">
    <cfRule type="expression" dxfId="820" priority="536">
      <formula>OR($E91="VACACIONES",$E91="ENFERMEDAD")</formula>
    </cfRule>
  </conditionalFormatting>
  <conditionalFormatting sqref="E97:H97">
    <cfRule type="expression" dxfId="819" priority="534">
      <formula>OR($E97="VACACIONES",$E97="ENFERMEDAD")</formula>
    </cfRule>
  </conditionalFormatting>
  <conditionalFormatting sqref="E101:H104">
    <cfRule type="expression" dxfId="818" priority="520">
      <formula>OR($E101="VACACIONES",$E101="ENFERMEDAD")</formula>
    </cfRule>
  </conditionalFormatting>
  <conditionalFormatting sqref="E105:H114">
    <cfRule type="expression" dxfId="817" priority="517">
      <formula>OR($E105="VACACIONES",$E105="ENFERMEDAD")</formula>
    </cfRule>
  </conditionalFormatting>
  <conditionalFormatting sqref="E115:H116">
    <cfRule type="expression" dxfId="816" priority="514">
      <formula>OR($E115="VACACIONES",$E115="ENFERMEDAD")</formula>
    </cfRule>
  </conditionalFormatting>
  <conditionalFormatting sqref="E120:H120">
    <cfRule type="expression" dxfId="815" priority="512">
      <formula>OR($E120="VACACIONES",$E120="ENFERMEDAD")</formula>
    </cfRule>
  </conditionalFormatting>
  <conditionalFormatting sqref="E126:H128">
    <cfRule type="expression" dxfId="814" priority="495">
      <formula>OR($E126="VACACIONES",$E126="ENFERMEDAD")</formula>
    </cfRule>
  </conditionalFormatting>
  <conditionalFormatting sqref="E130:H131">
    <cfRule type="expression" dxfId="813" priority="494">
      <formula>OR($E130="VACACIONES",$E130="ENFERMEDAD")</formula>
    </cfRule>
  </conditionalFormatting>
  <conditionalFormatting sqref="E133:H141">
    <cfRule type="expression" dxfId="812" priority="473">
      <formula>OR($E133="VACACIONES",$E133="ENFERMEDAD")</formula>
    </cfRule>
  </conditionalFormatting>
  <conditionalFormatting sqref="E143:H143">
    <cfRule type="expression" dxfId="811" priority="470">
      <formula>OR($E143="VACACIONES",$E143="ENFERMEDAD")</formula>
    </cfRule>
  </conditionalFormatting>
  <conditionalFormatting sqref="E144:H144">
    <cfRule type="expression" dxfId="810" priority="462">
      <formula>OR($E144="VACACIONES",$E144="ENFERMEDAD")</formula>
    </cfRule>
  </conditionalFormatting>
  <conditionalFormatting sqref="E146:H152">
    <cfRule type="expression" dxfId="809" priority="459">
      <formula>OR($E146="VACACIONES",$E146="ENFERMEDAD")</formula>
    </cfRule>
  </conditionalFormatting>
  <conditionalFormatting sqref="E154:H154">
    <cfRule type="expression" dxfId="808" priority="456">
      <formula>OR($E154="VACACIONES",$E154="ENFERMEDAD")</formula>
    </cfRule>
  </conditionalFormatting>
  <conditionalFormatting sqref="E155:H155">
    <cfRule type="expression" dxfId="807" priority="444">
      <formula>OR($E155="VACACIONES",$E155="ENFERMEDAD")</formula>
    </cfRule>
  </conditionalFormatting>
  <conditionalFormatting sqref="E157:H157">
    <cfRule type="expression" dxfId="806" priority="455">
      <formula>OR($E157="VACACIONES",$E157="ENFERMEDAD")</formula>
    </cfRule>
  </conditionalFormatting>
  <conditionalFormatting sqref="E158:H159">
    <cfRule type="expression" dxfId="805" priority="442">
      <formula>OR($E158="VACACIONES",$E158="ENFERMEDAD")</formula>
    </cfRule>
  </conditionalFormatting>
  <conditionalFormatting sqref="E161:H166">
    <cfRule type="expression" dxfId="804" priority="440">
      <formula>OR($E161="VACACIONES",$E161="ENFERMEDAD")</formula>
    </cfRule>
  </conditionalFormatting>
  <conditionalFormatting sqref="E170:H171">
    <cfRule type="expression" dxfId="803" priority="435">
      <formula>OR($E170="VACACIONES",$E170="ENFERMEDAD")</formula>
    </cfRule>
  </conditionalFormatting>
  <conditionalFormatting sqref="E172:H173">
    <cfRule type="expression" dxfId="802" priority="431">
      <formula>OR($E172="VACACIONES",$E172="ENFERMEDAD")</formula>
    </cfRule>
  </conditionalFormatting>
  <conditionalFormatting sqref="E175:H179">
    <cfRule type="expression" dxfId="801" priority="432">
      <formula>OR($E175="VACACIONES",$E175="ENFERMEDAD")</formula>
    </cfRule>
  </conditionalFormatting>
  <conditionalFormatting sqref="E180:H182">
    <cfRule type="expression" dxfId="800" priority="425">
      <formula>OR($E180="VACACIONES",$E180="ENFERMEDAD")</formula>
    </cfRule>
  </conditionalFormatting>
  <conditionalFormatting sqref="E183:H187">
    <cfRule type="expression" dxfId="799" priority="422">
      <formula>OR($E183="VACACIONES",$E183="ENFERMEDAD")</formula>
    </cfRule>
  </conditionalFormatting>
  <conditionalFormatting sqref="E190:H190">
    <cfRule type="expression" dxfId="798" priority="421">
      <formula>OR($E190="VACACIONES",$E190="ENFERMEDAD")</formula>
    </cfRule>
  </conditionalFormatting>
  <conditionalFormatting sqref="E191:H193">
    <cfRule type="expression" dxfId="797" priority="416">
      <formula>OR($E191="VACACIONES",$E191="ENFERMEDAD")</formula>
    </cfRule>
  </conditionalFormatting>
  <conditionalFormatting sqref="E194:H197">
    <cfRule type="expression" dxfId="796" priority="413">
      <formula>OR($E194="VACACIONES",$E194="ENFERMEDAD")</formula>
    </cfRule>
  </conditionalFormatting>
  <conditionalFormatting sqref="E198:H201">
    <cfRule type="expression" dxfId="795" priority="410">
      <formula>OR($E198="VACACIONES",$E198="ENFERMEDAD")</formula>
    </cfRule>
  </conditionalFormatting>
  <conditionalFormatting sqref="E202:H205">
    <cfRule type="expression" dxfId="794" priority="407">
      <formula>OR($E202="VACACIONES",$E202="ENFERMEDAD")</formula>
    </cfRule>
  </conditionalFormatting>
  <conditionalFormatting sqref="E206:H209">
    <cfRule type="expression" dxfId="793" priority="399">
      <formula>OR($E206="VACACIONES",$E206="ENFERMEDAD")</formula>
    </cfRule>
  </conditionalFormatting>
  <conditionalFormatting sqref="E223:H227">
    <cfRule type="expression" dxfId="792" priority="364">
      <formula>OR($E223="VACACIONES",$E223="ENFERMEDAD")</formula>
    </cfRule>
  </conditionalFormatting>
  <conditionalFormatting sqref="E236:H239">
    <cfRule type="expression" dxfId="791" priority="334">
      <formula>OR($E236="VACACIONES",$E236="ENFERMEDAD")</formula>
    </cfRule>
  </conditionalFormatting>
  <conditionalFormatting sqref="E251:H252">
    <cfRule type="expression" dxfId="790" priority="308">
      <formula>OR($E251="VACACIONES",$E251="ENFERMEDAD")</formula>
    </cfRule>
  </conditionalFormatting>
  <conditionalFormatting sqref="E253:H253">
    <cfRule type="expression" dxfId="789" priority="299">
      <formula>OR($E253="VACACIONES",$E253="ENFERMEDAD")</formula>
    </cfRule>
  </conditionalFormatting>
  <conditionalFormatting sqref="E266:H272">
    <cfRule type="expression" dxfId="788" priority="291">
      <formula>OR($E266="VACACIONES",$E266="ENFERMEDAD")</formula>
    </cfRule>
  </conditionalFormatting>
  <conditionalFormatting sqref="E273:H275">
    <cfRule type="expression" dxfId="787" priority="288">
      <formula>OR($E273="VACACIONES",$E273="ENFERMEDAD")</formula>
    </cfRule>
  </conditionalFormatting>
  <conditionalFormatting sqref="E278:H289">
    <cfRule type="expression" dxfId="786" priority="631">
      <formula>OR($E278="VACACIONES",$E278="ENFERMEDAD")</formula>
    </cfRule>
  </conditionalFormatting>
  <conditionalFormatting sqref="E290:H296">
    <cfRule type="expression" dxfId="785" priority="279">
      <formula>OR($E290="VACACIONES",$E290="ENFERMEDAD")</formula>
    </cfRule>
  </conditionalFormatting>
  <conditionalFormatting sqref="E300:H304">
    <cfRule type="expression" dxfId="784" priority="272">
      <formula>OR($E300="VACACIONES",$E300="ENFERMEDAD")</formula>
    </cfRule>
  </conditionalFormatting>
  <conditionalFormatting sqref="E306:H309">
    <cfRule type="expression" dxfId="783" priority="267">
      <formula>OR($E306="VACACIONES",$E306="ENFERMEDAD")</formula>
    </cfRule>
  </conditionalFormatting>
  <conditionalFormatting sqref="E310:H312">
    <cfRule type="expression" dxfId="782" priority="263">
      <formula>OR($E310="VACACIONES",$E310="ENFERMEDAD")</formula>
    </cfRule>
  </conditionalFormatting>
  <conditionalFormatting sqref="E324:H329">
    <cfRule type="expression" dxfId="781" priority="255">
      <formula>OR($E324="VACACIONES",$E324="ENFERMEDAD")</formula>
    </cfRule>
  </conditionalFormatting>
  <conditionalFormatting sqref="E333:H333">
    <cfRule type="expression" dxfId="780" priority="251">
      <formula>OR($E333="VACACIONES",$E333="ENFERMEDAD")</formula>
    </cfRule>
  </conditionalFormatting>
  <conditionalFormatting sqref="E337:H337">
    <cfRule type="expression" dxfId="779" priority="249">
      <formula>OR($E337="VACACIONES",$E337="ENFERMEDAD")</formula>
    </cfRule>
  </conditionalFormatting>
  <conditionalFormatting sqref="E340:H340">
    <cfRule type="expression" dxfId="778" priority="244">
      <formula>OR($E340="VACACIONES",$E340="ENFERMEDAD")</formula>
    </cfRule>
  </conditionalFormatting>
  <conditionalFormatting sqref="E342:H342">
    <cfRule type="expression" dxfId="777" priority="243">
      <formula>OR($E342="VACACIONES",$E342="ENFERMEDAD")</formula>
    </cfRule>
  </conditionalFormatting>
  <conditionalFormatting sqref="E343:H351">
    <cfRule type="expression" dxfId="776" priority="238">
      <formula>OR($E343="VACACIONES",$E343="ENFERMEDAD")</formula>
    </cfRule>
  </conditionalFormatting>
  <conditionalFormatting sqref="E393:H394">
    <cfRule type="expression" dxfId="775" priority="189">
      <formula>OR($E393="VACACIONES",$E393="ENFERMEDAD")</formula>
    </cfRule>
  </conditionalFormatting>
  <conditionalFormatting sqref="E406:H406">
    <cfRule type="expression" dxfId="774" priority="149">
      <formula>OR($E406="VACACIONES",$E406="ENFERMEDAD")</formula>
    </cfRule>
  </conditionalFormatting>
  <conditionalFormatting sqref="E412:H412">
    <cfRule type="expression" dxfId="773" priority="130">
      <formula>OR($E412="VACACIONES",$E412="ENFERMEDAD")</formula>
    </cfRule>
  </conditionalFormatting>
  <conditionalFormatting sqref="E436:H436">
    <cfRule type="expression" dxfId="772" priority="99">
      <formula>OR($E436="VACACIONES",$E436="ENFERMEDAD")</formula>
    </cfRule>
  </conditionalFormatting>
  <conditionalFormatting sqref="E438:H439">
    <cfRule type="expression" dxfId="771" priority="97">
      <formula>OR($E438="VACACIONES",$E438="ENFERMEDAD")</formula>
    </cfRule>
  </conditionalFormatting>
  <conditionalFormatting sqref="E443:H443">
    <cfRule type="expression" dxfId="770" priority="86">
      <formula>OR($E443="VACACIONES",$E443="ENFERMEDAD")</formula>
    </cfRule>
  </conditionalFormatting>
  <conditionalFormatting sqref="E456:H456">
    <cfRule type="expression" dxfId="769" priority="75">
      <formula>OR($E456="VACACIONES",$E456="ENFERMEDAD")</formula>
    </cfRule>
  </conditionalFormatting>
  <conditionalFormatting sqref="E459:H459">
    <cfRule type="expression" dxfId="768" priority="73">
      <formula>OR($E459="VACACIONES",$E459="ENFERMEDAD")</formula>
    </cfRule>
  </conditionalFormatting>
  <conditionalFormatting sqref="E465:H465">
    <cfRule type="expression" dxfId="767" priority="62">
      <formula>OR($E465="VACACIONES",$E465="ENFERMEDAD")</formula>
    </cfRule>
  </conditionalFormatting>
  <conditionalFormatting sqref="E467:H469">
    <cfRule type="expression" dxfId="766" priority="60">
      <formula>OR($E467="VACACIONES",$E467="ENFERMEDAD")</formula>
    </cfRule>
  </conditionalFormatting>
  <conditionalFormatting sqref="E475:H475">
    <cfRule type="expression" dxfId="765" priority="36">
      <formula>OR($E475="VACACIONES",$E475="ENFERMEDAD")</formula>
    </cfRule>
  </conditionalFormatting>
  <conditionalFormatting sqref="E480:H481">
    <cfRule type="expression" dxfId="764" priority="30">
      <formula>OR($E480="VACACIONES",$E480="ENFERMEDAD")</formula>
    </cfRule>
  </conditionalFormatting>
  <conditionalFormatting sqref="E483:H486">
    <cfRule type="expression" dxfId="763" priority="28">
      <formula>OR($E483="VACACIONES",$E483="ENFERMEDAD")</formula>
    </cfRule>
  </conditionalFormatting>
  <conditionalFormatting sqref="E498:H498">
    <cfRule type="expression" dxfId="762" priority="5">
      <formula>OR($E498="VACACIONES",$E498="ENFERMEDAD")</formula>
    </cfRule>
  </conditionalFormatting>
  <conditionalFormatting sqref="E507:H508">
    <cfRule type="expression" dxfId="761" priority="48">
      <formula>OR($E507="VACACIONES",$E507="ENFERMEDAD")</formula>
    </cfRule>
  </conditionalFormatting>
  <conditionalFormatting sqref="E514:H514">
    <cfRule type="expression" dxfId="760" priority="45">
      <formula>OR($E514="VACACIONES",$E514="ENFERMEDAD")</formula>
    </cfRule>
  </conditionalFormatting>
  <conditionalFormatting sqref="F26">
    <cfRule type="expression" dxfId="759" priority="606">
      <formula>OR(WEEKDAY(C26,1)=7,WEEKDAY(C26,1)=1)</formula>
    </cfRule>
  </conditionalFormatting>
  <conditionalFormatting sqref="F33">
    <cfRule type="expression" dxfId="758" priority="592">
      <formula>OR(WEEKDAY(C33,1)=7,WEEKDAY(C33,1)=1)</formula>
    </cfRule>
  </conditionalFormatting>
  <conditionalFormatting sqref="F37">
    <cfRule type="expression" dxfId="757" priority="586">
      <formula>OR(WEEKDAY(C37,1)=7,WEEKDAY(C37,1)=1)</formula>
    </cfRule>
  </conditionalFormatting>
  <conditionalFormatting sqref="F48:F50">
    <cfRule type="expression" dxfId="756" priority="572">
      <formula>OR(WEEKDAY(C48,1)=7,WEEKDAY(C48,1)=1)</formula>
    </cfRule>
  </conditionalFormatting>
  <conditionalFormatting sqref="F80:F84">
    <cfRule type="expression" dxfId="755" priority="537">
      <formula>OR(WEEKDAY(C80,1)=7,WEEKDAY(C80,1)=1)</formula>
    </cfRule>
  </conditionalFormatting>
  <conditionalFormatting sqref="F88">
    <cfRule type="expression" dxfId="754" priority="542">
      <formula>OR($E88="VACACIONES",$E88="ENFERMEDAD")</formula>
    </cfRule>
  </conditionalFormatting>
  <conditionalFormatting sqref="F93:F96">
    <cfRule type="expression" dxfId="753" priority="521">
      <formula>OR(WEEKDAY(C93,1)=7,WEEKDAY(C93,1)=1)</formula>
    </cfRule>
  </conditionalFormatting>
  <conditionalFormatting sqref="F98:F100">
    <cfRule type="expression" dxfId="752" priority="527">
      <formula>OR(WEEKDAY(C98,1)=7,WEEKDAY(C98,1)=1)</formula>
    </cfRule>
  </conditionalFormatting>
  <conditionalFormatting sqref="F117:F119">
    <cfRule type="expression" dxfId="751" priority="504">
      <formula>OR(WEEKDAY(C117,1)=7,WEEKDAY(C117,1)=1)</formula>
    </cfRule>
  </conditionalFormatting>
  <conditionalFormatting sqref="F119">
    <cfRule type="expression" dxfId="750" priority="505">
      <formula>OR($E119="VACACIONES",$E119="ENFERMEDAD")</formula>
    </cfRule>
  </conditionalFormatting>
  <conditionalFormatting sqref="F122">
    <cfRule type="expression" dxfId="749" priority="499">
      <formula>OR($E122="VACACIONES",$E122="ENFERMEDAD")</formula>
    </cfRule>
  </conditionalFormatting>
  <conditionalFormatting sqref="F127:F129">
    <cfRule type="expression" dxfId="748" priority="478">
      <formula>OR(WEEKDAY(C127,1)=7,WEEKDAY(C127,1)=1)</formula>
    </cfRule>
  </conditionalFormatting>
  <conditionalFormatting sqref="F128">
    <cfRule type="expression" dxfId="747" priority="479">
      <formula>OR($E128="VACACIONES",$E128="ENFERMEDAD")</formula>
    </cfRule>
  </conditionalFormatting>
  <conditionalFormatting sqref="F131:F132">
    <cfRule type="expression" dxfId="746" priority="481">
      <formula>OR(WEEKDAY(C131,1)=7,WEEKDAY(C131,1)=1)</formula>
    </cfRule>
    <cfRule type="expression" dxfId="745" priority="482">
      <formula>OR($E131="VACACIONES",$E131="ENFERMEDAD")</formula>
    </cfRule>
  </conditionalFormatting>
  <conditionalFormatting sqref="F214:F216">
    <cfRule type="expression" dxfId="744" priority="388">
      <formula>OR(WEEKDAY(C214,1)=7,WEEKDAY(C214,1)=1)</formula>
    </cfRule>
  </conditionalFormatting>
  <conditionalFormatting sqref="F216">
    <cfRule type="expression" dxfId="743" priority="389">
      <formula>OR($E216="VACACIONES",$E216="ENFERMEDAD")</formula>
    </cfRule>
  </conditionalFormatting>
  <conditionalFormatting sqref="F221:F222">
    <cfRule type="expression" dxfId="742" priority="373">
      <formula>OR(WEEKDAY(C221,1)=7,WEEKDAY(C221,1)=1)</formula>
    </cfRule>
  </conditionalFormatting>
  <conditionalFormatting sqref="F222">
    <cfRule type="expression" dxfId="741" priority="374">
      <formula>OR($E222="VACACIONES",$E222="ENFERMEDAD")</formula>
    </cfRule>
  </conditionalFormatting>
  <conditionalFormatting sqref="F229">
    <cfRule type="expression" dxfId="740" priority="349">
      <formula>OR($E229="VACACIONES",$E229="ENFERMEDAD")</formula>
    </cfRule>
  </conditionalFormatting>
  <conditionalFormatting sqref="F229:F230">
    <cfRule type="expression" dxfId="739" priority="348">
      <formula>OR(WEEKDAY(C229,1)=7,WEEKDAY(C229,1)=1)</formula>
    </cfRule>
  </conditionalFormatting>
  <conditionalFormatting sqref="F232">
    <cfRule type="expression" dxfId="738" priority="340">
      <formula>OR($E232="VACACIONES",$E232="ENFERMEDAD")</formula>
    </cfRule>
  </conditionalFormatting>
  <conditionalFormatting sqref="F232:F233">
    <cfRule type="expression" dxfId="737" priority="339">
      <formula>OR(WEEKDAY(C232,1)=7,WEEKDAY(C232,1)=1)</formula>
    </cfRule>
  </conditionalFormatting>
  <conditionalFormatting sqref="F242">
    <cfRule type="expression" dxfId="736" priority="324">
      <formula>OR($E242="VACACIONES",$E242="ENFERMEDAD")</formula>
    </cfRule>
  </conditionalFormatting>
  <conditionalFormatting sqref="F242:F243">
    <cfRule type="expression" dxfId="735" priority="323">
      <formula>OR(WEEKDAY(C242,1)=7,WEEKDAY(C242,1)=1)</formula>
    </cfRule>
  </conditionalFormatting>
  <conditionalFormatting sqref="F250">
    <cfRule type="expression" dxfId="733" priority="302">
      <formula>OR(WEEKDAY(C250,1)=7,WEEKDAY(C250,1)=1)</formula>
    </cfRule>
    <cfRule type="expression" dxfId="734" priority="303">
      <formula>OR($E250="VACACIONES",$E250="ENFERMEDAD")</formula>
    </cfRule>
  </conditionalFormatting>
  <conditionalFormatting sqref="F254">
    <cfRule type="expression" dxfId="732" priority="314">
      <formula>OR($E254="VACACIONES",$E254="ENFERMEDAD")</formula>
    </cfRule>
  </conditionalFormatting>
  <conditionalFormatting sqref="F254:F255">
    <cfRule type="expression" dxfId="731" priority="313">
      <formula>OR(WEEKDAY(C254,1)=7,WEEKDAY(C254,1)=1)</formula>
    </cfRule>
  </conditionalFormatting>
  <conditionalFormatting sqref="F299">
    <cfRule type="expression" dxfId="729" priority="274">
      <formula>OR(WEEKDAY(C299,1)=7,WEEKDAY(C299,1)=1)</formula>
    </cfRule>
    <cfRule type="expression" dxfId="730" priority="275">
      <formula>OR($E299="VACACIONES",$E299="ENFERMEDAD")</formula>
    </cfRule>
  </conditionalFormatting>
  <conditionalFormatting sqref="F314">
    <cfRule type="expression" dxfId="728" priority="260">
      <formula>OR($E314="VACACIONES",$E314="ENFERMEDAD")</formula>
    </cfRule>
  </conditionalFormatting>
  <conditionalFormatting sqref="F354:F357">
    <cfRule type="expression" dxfId="727" priority="227">
      <formula>OR(WEEKDAY(C354,1)=7,WEEKDAY(C354,1)=1)</formula>
    </cfRule>
  </conditionalFormatting>
  <conditionalFormatting sqref="F356:F357">
    <cfRule type="expression" dxfId="726" priority="228">
      <formula>OR($E356="VACACIONES",$E356="ENFERMEDAD")</formula>
    </cfRule>
  </conditionalFormatting>
  <conditionalFormatting sqref="F363">
    <cfRule type="expression" dxfId="724" priority="215">
      <formula>OR(WEEKDAY(C363,1)=7,WEEKDAY(C363,1)=1)</formula>
    </cfRule>
    <cfRule type="expression" dxfId="725" priority="216">
      <formula>OR($E363="VACACIONES",$E363="ENFERMEDAD")</formula>
    </cfRule>
  </conditionalFormatting>
  <conditionalFormatting sqref="F375">
    <cfRule type="expression" dxfId="723" priority="211">
      <formula>OR(WEEKDAY(C375,1)=7,WEEKDAY(C375,1)=1)</formula>
    </cfRule>
    <cfRule type="expression" dxfId="722" priority="212">
      <formula>OR($E375="VACACIONES",$E375="ENFERMEDAD")</formula>
    </cfRule>
  </conditionalFormatting>
  <conditionalFormatting sqref="F378:F379">
    <cfRule type="expression" dxfId="720" priority="202">
      <formula>OR(WEEKDAY(C378,1)=7,WEEKDAY(C378,1)=1)</formula>
    </cfRule>
    <cfRule type="expression" dxfId="721" priority="203">
      <formula>OR($E378="VACACIONES",$E378="ENFERMEDAD")</formula>
    </cfRule>
  </conditionalFormatting>
  <conditionalFormatting sqref="F395">
    <cfRule type="expression" dxfId="718" priority="178">
      <formula>OR(WEEKDAY(C395,1)=7,WEEKDAY(C395,1)=1)</formula>
    </cfRule>
    <cfRule type="expression" dxfId="719" priority="179">
      <formula>OR($E395="VACACIONES",$E395="ENFERMEDAD")</formula>
    </cfRule>
    <cfRule type="expression" dxfId="715" priority="183">
      <formula>OR(WEEKDAY(C395,1)=7,WEEKDAY(C395,1)=1)</formula>
    </cfRule>
    <cfRule type="expression" dxfId="716" priority="185">
      <formula>OR(WEEKDAY(C395,1)=7,WEEKDAY(C395,1)=1)</formula>
    </cfRule>
    <cfRule type="expression" dxfId="717" priority="186">
      <formula>OR($E395="VACACIONES",$E395="ENFERMEDAD")</formula>
    </cfRule>
  </conditionalFormatting>
  <conditionalFormatting sqref="F404">
    <cfRule type="expression" dxfId="714" priority="161">
      <formula>OR(WEEKDAY(C404,1)=7,WEEKDAY(C404,1)=1)</formula>
    </cfRule>
    <cfRule type="expression" dxfId="711" priority="162">
      <formula>OR($E404="VACACIONES",$E404="ENFERMEDAD")</formula>
    </cfRule>
    <cfRule type="expression" dxfId="713" priority="166">
      <formula>OR(WEEKDAY(C404,1)=7,WEEKDAY(C404,1)=1)</formula>
    </cfRule>
    <cfRule type="expression" dxfId="710" priority="168">
      <formula>OR(WEEKDAY(C404,1)=7,WEEKDAY(C404,1)=1)</formula>
    </cfRule>
    <cfRule type="expression" dxfId="712" priority="169">
      <formula>OR($E404="VACACIONES",$E404="ENFERMEDAD")</formula>
    </cfRule>
  </conditionalFormatting>
  <conditionalFormatting sqref="F407:F408">
    <cfRule type="expression" dxfId="709" priority="151">
      <formula>OR(WEEKDAY(C407,1)=7,WEEKDAY(C407,1)=1)</formula>
    </cfRule>
    <cfRule type="expression" dxfId="708" priority="152">
      <formula>OR($E407="VACACIONES",$E407="ENFERMEDAD")</formula>
    </cfRule>
    <cfRule type="expression" dxfId="707" priority="156">
      <formula>OR(WEEKDAY(C407,1)=7,WEEKDAY(C407,1)=1)</formula>
    </cfRule>
    <cfRule type="expression" dxfId="705" priority="158">
      <formula>OR(WEEKDAY(C407,1)=7,WEEKDAY(C407,1)=1)</formula>
    </cfRule>
    <cfRule type="expression" dxfId="706" priority="159">
      <formula>OR($E407="VACACIONES",$E407="ENFERMEDAD")</formula>
    </cfRule>
  </conditionalFormatting>
  <conditionalFormatting sqref="F408">
    <cfRule type="expression" dxfId="700" priority="134">
      <formula>OR(WEEKDAY(C408,1)=7,WEEKDAY(C408,1)=1)</formula>
    </cfRule>
    <cfRule type="expression" dxfId="701" priority="135">
      <formula>OR($E408="VACACIONES",$E408="ENFERMEDAD")</formula>
    </cfRule>
    <cfRule type="expression" dxfId="704" priority="139">
      <formula>OR(WEEKDAY(C408,1)=7,WEEKDAY(C408,1)=1)</formula>
    </cfRule>
    <cfRule type="expression" dxfId="703" priority="141">
      <formula>OR(WEEKDAY(C408,1)=7,WEEKDAY(C408,1)=1)</formula>
    </cfRule>
    <cfRule type="expression" dxfId="702" priority="142">
      <formula>OR($E408="VACACIONES",$E408="ENFERMEDAD")</formula>
    </cfRule>
  </conditionalFormatting>
  <conditionalFormatting sqref="F416:F418">
    <cfRule type="expression" dxfId="699" priority="118">
      <formula>OR(WEEKDAY(C416,1)=7,WEEKDAY(C416,1)=1)</formula>
    </cfRule>
  </conditionalFormatting>
  <conditionalFormatting sqref="F417:F418">
    <cfRule type="expression" dxfId="698" priority="119">
      <formula>OR($E417="VACACIONES",$E417="ENFERMEDAD")</formula>
    </cfRule>
  </conditionalFormatting>
  <conditionalFormatting sqref="F427:F429">
    <cfRule type="expression" dxfId="696" priority="107">
      <formula>OR(WEEKDAY(C427,1)=7,WEEKDAY(C427,1)=1)</formula>
    </cfRule>
    <cfRule type="expression" dxfId="697" priority="108">
      <formula>OR($E427="VACACIONES",$E427="ENFERMEDAD")</formula>
    </cfRule>
  </conditionalFormatting>
  <conditionalFormatting sqref="F431">
    <cfRule type="expression" dxfId="695" priority="106">
      <formula>OR($E431="VACACIONES",$E431="ENFERMEDAD")</formula>
    </cfRule>
  </conditionalFormatting>
  <conditionalFormatting sqref="F431:F432">
    <cfRule type="expression" dxfId="694" priority="105">
      <formula>OR(WEEKDAY(C431,1)=7,WEEKDAY(C431,1)=1)</formula>
    </cfRule>
  </conditionalFormatting>
  <conditionalFormatting sqref="F493">
    <cfRule type="expression" dxfId="693" priority="7">
      <formula>OR(WEEKDAY(C493,1)=7,WEEKDAY(C493,1)=1)</formula>
    </cfRule>
    <cfRule type="expression" dxfId="692" priority="8">
      <formula>OR($E493="VACACIONES",$E493="ENFERMEDAD")</formula>
    </cfRule>
  </conditionalFormatting>
  <conditionalFormatting sqref="F26:H26">
    <cfRule type="expression" dxfId="691" priority="607">
      <formula>OR($E26="VACACIONES",$E26="ENFERMEDAD")</formula>
    </cfRule>
  </conditionalFormatting>
  <conditionalFormatting sqref="F33:H33">
    <cfRule type="expression" dxfId="690" priority="593">
      <formula>OR($E33="VACACIONES",$E33="ENFERMEDAD")</formula>
    </cfRule>
  </conditionalFormatting>
  <conditionalFormatting sqref="F37:H37">
    <cfRule type="expression" dxfId="689" priority="587">
      <formula>OR($E37="VACACIONES",$E37="ENFERMEDAD")</formula>
    </cfRule>
  </conditionalFormatting>
  <conditionalFormatting sqref="F48:H50">
    <cfRule type="expression" dxfId="688" priority="573">
      <formula>OR($E48="VACACIONES",$E48="ENFERMEDAD")</formula>
    </cfRule>
  </conditionalFormatting>
  <conditionalFormatting sqref="F80:H84">
    <cfRule type="expression" dxfId="687" priority="538">
      <formula>OR($E80="VACACIONES",$E80="ENFERMEDAD")</formula>
    </cfRule>
  </conditionalFormatting>
  <conditionalFormatting sqref="F86:H87">
    <cfRule type="expression" dxfId="686" priority="546">
      <formula>OR($E86="VACACIONES",$E86="ENFERMEDAD")</formula>
    </cfRule>
  </conditionalFormatting>
  <conditionalFormatting sqref="F93:H96">
    <cfRule type="expression" dxfId="685" priority="522">
      <formula>OR($E93="VACACIONES",$E93="ENFERMEDAD")</formula>
    </cfRule>
  </conditionalFormatting>
  <conditionalFormatting sqref="F98:H100">
    <cfRule type="expression" dxfId="684" priority="528">
      <formula>OR($E98="VACACIONES",$E98="ENFERMEDAD")</formula>
    </cfRule>
  </conditionalFormatting>
  <conditionalFormatting sqref="F117:H118">
    <cfRule type="expression" dxfId="683" priority="506">
      <formula>OR($E117="VACACIONES",$E117="ENFERMEDAD")</formula>
    </cfRule>
  </conditionalFormatting>
  <conditionalFormatting sqref="F121:H121">
    <cfRule type="expression" dxfId="682" priority="500">
      <formula>OR($E121="VACACIONES",$E121="ENFERMEDAD")</formula>
    </cfRule>
  </conditionalFormatting>
  <conditionalFormatting sqref="F127:H127">
    <cfRule type="expression" dxfId="681" priority="485">
      <formula>OR($E127="VACACIONES",$E127="ENFERMEDAD")</formula>
    </cfRule>
  </conditionalFormatting>
  <conditionalFormatting sqref="F129:H129">
    <cfRule type="expression" dxfId="680" priority="484">
      <formula>OR($E129="VACACIONES",$E129="ENFERMEDAD")</formula>
    </cfRule>
  </conditionalFormatting>
  <conditionalFormatting sqref="F212:H212">
    <cfRule type="expression" dxfId="679" priority="393">
      <formula>OR($E212="VACACIONES",$E212="ENFERMEDAD")</formula>
    </cfRule>
  </conditionalFormatting>
  <conditionalFormatting sqref="F214:H215">
    <cfRule type="expression" dxfId="678" priority="394">
      <formula>OR($E214="VACACIONES",$E214="ENFERMEDAD")</formula>
    </cfRule>
  </conditionalFormatting>
  <conditionalFormatting sqref="F219:H219">
    <cfRule type="expression" dxfId="677" priority="378">
      <formula>OR($E219="VACACIONES",$E219="ENFERMEDAD")</formula>
    </cfRule>
  </conditionalFormatting>
  <conditionalFormatting sqref="F221:H221">
    <cfRule type="expression" dxfId="676" priority="379">
      <formula>OR($E221="VACACIONES",$E221="ENFERMEDAD")</formula>
    </cfRule>
  </conditionalFormatting>
  <conditionalFormatting sqref="F230:H230">
    <cfRule type="expression" dxfId="675" priority="362">
      <formula>OR($E230="VACACIONES",$E230="ENFERMEDAD")</formula>
    </cfRule>
  </conditionalFormatting>
  <conditionalFormatting sqref="F233:H233">
    <cfRule type="expression" dxfId="674" priority="358">
      <formula>OR($E233="VACACIONES",$E233="ENFERMEDAD")</formula>
    </cfRule>
  </conditionalFormatting>
  <conditionalFormatting sqref="F243:H243">
    <cfRule type="expression" dxfId="673" priority="328">
      <formula>OR($E243="VACACIONES",$E243="ENFERMEDAD")</formula>
    </cfRule>
  </conditionalFormatting>
  <conditionalFormatting sqref="F255:H255">
    <cfRule type="expression" dxfId="672" priority="321">
      <formula>OR($E255="VACACIONES",$E255="ENFERMEDAD")</formula>
    </cfRule>
  </conditionalFormatting>
  <conditionalFormatting sqref="F354:H355">
    <cfRule type="expression" dxfId="671" priority="232">
      <formula>OR($E354="VACACIONES",$E354="ENFERMEDAD")</formula>
    </cfRule>
  </conditionalFormatting>
  <conditionalFormatting sqref="F395:H395">
    <cfRule type="expression" dxfId="670" priority="184">
      <formula>OR($E395="VACACIONES",$E395="ENFERMEDAD")</formula>
    </cfRule>
  </conditionalFormatting>
  <conditionalFormatting sqref="F404:H404">
    <cfRule type="expression" dxfId="669" priority="167">
      <formula>OR($E404="VACACIONES",$E404="ENFERMEDAD")</formula>
    </cfRule>
  </conditionalFormatting>
  <conditionalFormatting sqref="F407:H408">
    <cfRule type="expression" dxfId="668" priority="157">
      <formula>OR($E407="VACACIONES",$E407="ENFERMEDAD")</formula>
    </cfRule>
  </conditionalFormatting>
  <conditionalFormatting sqref="F408:H408">
    <cfRule type="expression" dxfId="667" priority="140">
      <formula>OR($E408="VACACIONES",$E408="ENFERMEDAD")</formula>
    </cfRule>
  </conditionalFormatting>
  <conditionalFormatting sqref="F416:H416">
    <cfRule type="expression" dxfId="666" priority="120">
      <formula>OR($E416="VACACIONES",$E416="ENFERMEDAD")</formula>
    </cfRule>
  </conditionalFormatting>
  <conditionalFormatting sqref="G4:H128">
    <cfRule type="expression" dxfId="665" priority="489">
      <formula>OR(WEEKDAY(B4,1)=7,WEEKDAY(B4,1)=1)</formula>
    </cfRule>
  </conditionalFormatting>
  <conditionalFormatting sqref="G73:H74">
    <cfRule type="expression" dxfId="664" priority="553">
      <formula>OR($E73="VACACIONES",$E73="ENFERMEDAD")</formula>
    </cfRule>
  </conditionalFormatting>
  <conditionalFormatting sqref="G88:H88">
    <cfRule type="expression" dxfId="663" priority="539">
      <formula>OR($E88="VACACIONES",$E88="ENFERMEDAD")</formula>
    </cfRule>
  </conditionalFormatting>
  <conditionalFormatting sqref="G119:H119">
    <cfRule type="expression" dxfId="662" priority="503">
      <formula>OR($E119="VACACIONES",$E119="ENFERMEDAD")</formula>
    </cfRule>
  </conditionalFormatting>
  <conditionalFormatting sqref="G122:H122">
    <cfRule type="expression" dxfId="661" priority="496">
      <formula>OR($E122="VACACIONES",$E122="ENFERMEDAD")</formula>
    </cfRule>
  </conditionalFormatting>
  <conditionalFormatting sqref="G125:H125">
    <cfRule type="expression" dxfId="660" priority="490">
      <formula>OR($E125="VACACIONES",$E125="ENFERMEDAD")</formula>
    </cfRule>
  </conditionalFormatting>
  <conditionalFormatting sqref="G127:H128">
    <cfRule type="expression" dxfId="659" priority="475">
      <formula>OR(WEEKDAY(B127,1)=7,WEEKDAY(B127,1)=1)</formula>
    </cfRule>
  </conditionalFormatting>
  <conditionalFormatting sqref="G128:H128">
    <cfRule type="expression" dxfId="658" priority="476">
      <formula>OR($E128="VACACIONES",$E128="ENFERMEDAD")</formula>
    </cfRule>
  </conditionalFormatting>
  <conditionalFormatting sqref="G129:H131">
    <cfRule type="expression" dxfId="657" priority="483">
      <formula>OR(WEEKDAY(B129,1)=7,WEEKDAY(B129,1)=1)</formula>
    </cfRule>
  </conditionalFormatting>
  <conditionalFormatting sqref="G131:H132">
    <cfRule type="expression" dxfId="656" priority="480">
      <formula>OR($E131="VACACIONES",$E131="ENFERMEDAD")</formula>
    </cfRule>
  </conditionalFormatting>
  <conditionalFormatting sqref="G131:H212">
    <cfRule type="expression" dxfId="655" priority="392">
      <formula>OR(WEEKDAY(B131,1)=7,WEEKDAY(B131,1)=1)</formula>
    </cfRule>
  </conditionalFormatting>
  <conditionalFormatting sqref="G142:H142">
    <cfRule type="expression" dxfId="654" priority="467">
      <formula>OR($E142="VACACIONES",$E142="ENFERMEDAD")</formula>
    </cfRule>
  </conditionalFormatting>
  <conditionalFormatting sqref="G145:H145">
    <cfRule type="expression" dxfId="653" priority="463">
      <formula>OR($E145="VACACIONES",$E145="ENFERMEDAD")</formula>
    </cfRule>
  </conditionalFormatting>
  <conditionalFormatting sqref="G153:H153">
    <cfRule type="expression" dxfId="652" priority="452">
      <formula>OR($E153="VACACIONES",$E153="ENFERMEDAD")</formula>
    </cfRule>
  </conditionalFormatting>
  <conditionalFormatting sqref="G156:H156">
    <cfRule type="expression" dxfId="651" priority="449">
      <formula>OR($E156="VACACIONES",$E156="ENFERMEDAD")</formula>
    </cfRule>
  </conditionalFormatting>
  <conditionalFormatting sqref="G160:H160">
    <cfRule type="expression" dxfId="650" priority="445">
      <formula>OR($E160="VACACIONES",$E160="ENFERMEDAD")</formula>
    </cfRule>
  </conditionalFormatting>
  <conditionalFormatting sqref="G167:H167">
    <cfRule type="expression" dxfId="649" priority="437">
      <formula>OR($E167="VACACIONES",$E167="ENFERMEDAD")</formula>
    </cfRule>
  </conditionalFormatting>
  <conditionalFormatting sqref="G174:H174">
    <cfRule type="expression" dxfId="648" priority="428">
      <formula>OR($E174="VACACIONES",$E174="ENFERMEDAD")</formula>
    </cfRule>
  </conditionalFormatting>
  <conditionalFormatting sqref="G188:H189">
    <cfRule type="expression" dxfId="647" priority="418">
      <formula>OR($E188="VACACIONES",$E188="ENFERMEDAD")</formula>
    </cfRule>
  </conditionalFormatting>
  <conditionalFormatting sqref="G210:H211">
    <cfRule type="expression" dxfId="646" priority="395">
      <formula>OR($E210="VACACIONES",$E210="ENFERMEDAD")</formula>
    </cfRule>
  </conditionalFormatting>
  <conditionalFormatting sqref="G213:H215">
    <cfRule type="expression" dxfId="645" priority="400">
      <formula>OR(WEEKDAY(B213,1)=7,WEEKDAY(B213,1)=1)</formula>
    </cfRule>
    <cfRule type="expression" dxfId="644" priority="401">
      <formula>OR($E213="VACACIONES",$E213="ENFERMEDAD")</formula>
    </cfRule>
  </conditionalFormatting>
  <conditionalFormatting sqref="G214:H219">
    <cfRule type="expression" dxfId="643" priority="377">
      <formula>OR(WEEKDAY(B214,1)=7,WEEKDAY(B214,1)=1)</formula>
    </cfRule>
  </conditionalFormatting>
  <conditionalFormatting sqref="G216:H216">
    <cfRule type="expression" dxfId="642" priority="387">
      <formula>OR($E216="VACACIONES",$E216="ENFERMEDAD")</formula>
    </cfRule>
  </conditionalFormatting>
  <conditionalFormatting sqref="G220:H221">
    <cfRule type="expression" dxfId="640" priority="380">
      <formula>OR(WEEKDAY(B220,1)=7,WEEKDAY(B220,1)=1)</formula>
    </cfRule>
    <cfRule type="expression" dxfId="641" priority="381">
      <formula>OR($E220="VACACIONES",$E220="ENFERMEDAD")</formula>
    </cfRule>
  </conditionalFormatting>
  <conditionalFormatting sqref="G221:H231">
    <cfRule type="expression" dxfId="639" priority="350">
      <formula>OR(WEEKDAY(B221,1)=7,WEEKDAY(B221,1)=1)</formula>
    </cfRule>
  </conditionalFormatting>
  <conditionalFormatting sqref="G222:H222">
    <cfRule type="expression" dxfId="638" priority="372">
      <formula>OR($E222="VACACIONES",$E222="ENFERMEDAD")</formula>
    </cfRule>
  </conditionalFormatting>
  <conditionalFormatting sqref="G228:H229">
    <cfRule type="expression" dxfId="637" priority="351">
      <formula>OR($E228="VACACIONES",$E228="ENFERMEDAD")</formula>
    </cfRule>
  </conditionalFormatting>
  <conditionalFormatting sqref="G229:H229">
    <cfRule type="expression" dxfId="636" priority="346">
      <formula>OR(WEEKDAY(B229,1)=7,WEEKDAY(B229,1)=1)</formula>
    </cfRule>
    <cfRule type="expression" dxfId="635" priority="347">
      <formula>OR($E229="VACACIONES",$E229="ENFERMEDAD")</formula>
    </cfRule>
  </conditionalFormatting>
  <conditionalFormatting sqref="G231:H231">
    <cfRule type="expression" dxfId="634" priority="365">
      <formula>OR($E231="VACACIONES",$E231="ENFERMEDAD")</formula>
    </cfRule>
  </conditionalFormatting>
  <conditionalFormatting sqref="G232:H232">
    <cfRule type="expression" dxfId="633" priority="337">
      <formula>OR(WEEKDAY(B232,1)=7,WEEKDAY(B232,1)=1)</formula>
    </cfRule>
    <cfRule type="expression" dxfId="631" priority="338">
      <formula>OR($E232="VACACIONES",$E232="ENFERMEDAD")</formula>
    </cfRule>
    <cfRule type="expression" dxfId="632" priority="342">
      <formula>OR($E232="VACACIONES",$E232="ENFERMEDAD")</formula>
    </cfRule>
  </conditionalFormatting>
  <conditionalFormatting sqref="G232:H235">
    <cfRule type="expression" dxfId="630" priority="341">
      <formula>OR(WEEKDAY(B232,1)=7,WEEKDAY(B232,1)=1)</formula>
    </cfRule>
  </conditionalFormatting>
  <conditionalFormatting sqref="G236:H252">
    <cfRule type="expression" dxfId="629" priority="304">
      <formula>OR(WEEKDAY(B236,1)=7,WEEKDAY(B236,1)=1)</formula>
    </cfRule>
  </conditionalFormatting>
  <conditionalFormatting sqref="G240:H242">
    <cfRule type="expression" dxfId="628" priority="322">
      <formula>OR($E240="VACACIONES",$E240="ENFERMEDAD")</formula>
    </cfRule>
  </conditionalFormatting>
  <conditionalFormatting sqref="G246:H250">
    <cfRule type="expression" dxfId="627" priority="305">
      <formula>OR($E246="VACACIONES",$E246="ENFERMEDAD")</formula>
    </cfRule>
  </conditionalFormatting>
  <conditionalFormatting sqref="G250:H250">
    <cfRule type="expression" dxfId="625" priority="300">
      <formula>OR(WEEKDAY(B250,1)=7,WEEKDAY(B250,1)=1)</formula>
    </cfRule>
    <cfRule type="expression" dxfId="626" priority="301">
      <formula>OR($E250="VACACIONES",$E250="ENFERMEDAD")</formula>
    </cfRule>
  </conditionalFormatting>
  <conditionalFormatting sqref="G253:H254">
    <cfRule type="expression" dxfId="624" priority="297">
      <formula>OR(WEEKDAY(B253,1)=7,WEEKDAY(B253,1)=1)</formula>
    </cfRule>
  </conditionalFormatting>
  <conditionalFormatting sqref="G254:H254">
    <cfRule type="expression" dxfId="622" priority="312">
      <formula>OR($E254="VACACIONES",$E254="ENFERMEDAD")</formula>
    </cfRule>
    <cfRule type="expression" dxfId="623" priority="316">
      <formula>OR($E254="VACACIONES",$E254="ENFERMEDAD")</formula>
    </cfRule>
  </conditionalFormatting>
  <conditionalFormatting sqref="G254:H257">
    <cfRule type="expression" dxfId="621" priority="315">
      <formula>OR(WEEKDAY(B254,1)=7,WEEKDAY(B254,1)=1)</formula>
    </cfRule>
  </conditionalFormatting>
  <conditionalFormatting sqref="G258:H263">
    <cfRule type="expression" dxfId="620" priority="292">
      <formula>OR($E258="VACACIONES",$E258="ENFERMEDAD")</formula>
    </cfRule>
  </conditionalFormatting>
  <conditionalFormatting sqref="G258:H376">
    <cfRule type="expression" dxfId="619" priority="213">
      <formula>OR(WEEKDAY(B258,1)=7,WEEKDAY(B258,1)=1)</formula>
    </cfRule>
  </conditionalFormatting>
  <conditionalFormatting sqref="G276:H277">
    <cfRule type="expression" dxfId="618" priority="284">
      <formula>OR($E276="VACACIONES",$E276="ENFERMEDAD")</formula>
    </cfRule>
  </conditionalFormatting>
  <conditionalFormatting sqref="G297:H299">
    <cfRule type="expression" dxfId="617" priority="273">
      <formula>OR($E297="VACACIONES",$E297="ENFERMEDAD")</formula>
    </cfRule>
  </conditionalFormatting>
  <conditionalFormatting sqref="G305:H305">
    <cfRule type="expression" dxfId="616" priority="268">
      <formula>OR($E305="VACACIONES",$E305="ENFERMEDAD")</formula>
    </cfRule>
  </conditionalFormatting>
  <conditionalFormatting sqref="G314:H314">
    <cfRule type="expression" dxfId="615" priority="258">
      <formula>OR($E314="VACACIONES",$E314="ENFERMEDAD")</formula>
    </cfRule>
  </conditionalFormatting>
  <conditionalFormatting sqref="G330:H330">
    <cfRule type="expression" dxfId="614" priority="252">
      <formula>OR($E330="VACACIONES",$E330="ENFERMEDAD")</formula>
    </cfRule>
  </conditionalFormatting>
  <conditionalFormatting sqref="G334:H336">
    <cfRule type="expression" dxfId="613" priority="245">
      <formula>OR($E334="VACACIONES",$E334="ENFERMEDAD")</formula>
    </cfRule>
  </conditionalFormatting>
  <conditionalFormatting sqref="G341:H341">
    <cfRule type="expression" dxfId="612" priority="239">
      <formula>OR($E341="VACACIONES",$E341="ENFERMEDAD")</formula>
    </cfRule>
  </conditionalFormatting>
  <conditionalFormatting sqref="G352:H353">
    <cfRule type="expression" dxfId="611" priority="233">
      <formula>OR($E352="VACACIONES",$E352="ENFERMEDAD")</formula>
    </cfRule>
  </conditionalFormatting>
  <conditionalFormatting sqref="G356:H357">
    <cfRule type="expression" dxfId="610" priority="226">
      <formula>OR($E356="VACACIONES",$E356="ENFERMEDAD")</formula>
    </cfRule>
  </conditionalFormatting>
  <conditionalFormatting sqref="G361:H363">
    <cfRule type="expression" dxfId="609" priority="214">
      <formula>OR($E361="VACACIONES",$E361="ENFERMEDAD")</formula>
    </cfRule>
  </conditionalFormatting>
  <conditionalFormatting sqref="G367:H369">
    <cfRule type="expression" dxfId="608" priority="217">
      <formula>OR($E367="VACACIONES",$E367="ENFERMEDAD")</formula>
    </cfRule>
  </conditionalFormatting>
  <conditionalFormatting sqref="G375:H375">
    <cfRule type="expression" dxfId="606" priority="209">
      <formula>OR(WEEKDAY(B375,1)=7,WEEKDAY(B375,1)=1)</formula>
    </cfRule>
    <cfRule type="expression" dxfId="607" priority="210">
      <formula>OR($E375="VACACIONES",$E375="ENFERMEDAD")</formula>
    </cfRule>
  </conditionalFormatting>
  <conditionalFormatting sqref="G377:H377">
    <cfRule type="expression" dxfId="605" priority="206">
      <formula>OR($E377="VACACIONES",$E377="ENFERMEDAD")</formula>
    </cfRule>
  </conditionalFormatting>
  <conditionalFormatting sqref="G377:H378">
    <cfRule type="expression" dxfId="604" priority="205">
      <formula>OR(WEEKDAY(B377,1)=7,WEEKDAY(B377,1)=1)</formula>
    </cfRule>
  </conditionalFormatting>
  <conditionalFormatting sqref="G378:H378">
    <cfRule type="expression" dxfId="603" priority="201">
      <formula>OR($E378="VACACIONES",$E378="ENFERMEDAD")</formula>
    </cfRule>
  </conditionalFormatting>
  <conditionalFormatting sqref="G378:H381">
    <cfRule type="expression" dxfId="602" priority="200">
      <formula>OR(WEEKDAY(B378,1)=7,WEEKDAY(B378,1)=1)</formula>
    </cfRule>
  </conditionalFormatting>
  <conditionalFormatting sqref="G379:H379">
    <cfRule type="expression" dxfId="601" priority="198">
      <formula>OR(WEEKDAY(B379,1)=7,WEEKDAY(B379,1)=1)</formula>
    </cfRule>
    <cfRule type="expression" dxfId="600" priority="199">
      <formula>OR($E379="VACACIONES",$E379="ENFERMEDAD")</formula>
    </cfRule>
  </conditionalFormatting>
  <conditionalFormatting sqref="G382:H382">
    <cfRule type="expression" dxfId="599" priority="195">
      <formula>OR($E382="VACACIONES",$E382="ENFERMEDAD")</formula>
    </cfRule>
  </conditionalFormatting>
  <conditionalFormatting sqref="G382:H399">
    <cfRule type="expression" dxfId="598" priority="187">
      <formula>OR(WEEKDAY(B382,1)=7,WEEKDAY(B382,1)=1)</formula>
    </cfRule>
  </conditionalFormatting>
  <conditionalFormatting sqref="G390:H390">
    <cfRule type="expression" dxfId="597" priority="190">
      <formula>OR($E390="VACACIONES",$E390="ENFERMEDAD")</formula>
    </cfRule>
  </conditionalFormatting>
  <conditionalFormatting sqref="G395:H395">
    <cfRule type="expression" dxfId="593" priority="176">
      <formula>OR(WEEKDAY(B395,1)=7,WEEKDAY(B395,1)=1)</formula>
    </cfRule>
    <cfRule type="expression" dxfId="594" priority="177">
      <formula>OR($E395="VACACIONES",$E395="ENFERMEDAD")</formula>
    </cfRule>
    <cfRule type="expression" dxfId="595" priority="180">
      <formula>OR(WEEKDAY(B395,1)=7,WEEKDAY(B395,1)=1)</formula>
    </cfRule>
    <cfRule type="expression" dxfId="596" priority="181">
      <formula>OR($E395="VACACIONES",$E395="ENFERMEDAD")</formula>
    </cfRule>
    <cfRule type="expression" dxfId="592" priority="182">
      <formula>OR(WEEKDAY(B395,1)=7,WEEKDAY(B395,1)=1)</formula>
    </cfRule>
  </conditionalFormatting>
  <conditionalFormatting sqref="G400:H400">
    <cfRule type="expression" dxfId="591" priority="172">
      <formula>OR($E400="VACACIONES",$E400="ENFERMEDAD")</formula>
    </cfRule>
  </conditionalFormatting>
  <conditionalFormatting sqref="G400:H404">
    <cfRule type="expression" dxfId="590" priority="171">
      <formula>OR(WEEKDAY(B400,1)=7,WEEKDAY(B400,1)=1)</formula>
    </cfRule>
  </conditionalFormatting>
  <conditionalFormatting sqref="G404:H404">
    <cfRule type="expression" dxfId="587" priority="163">
      <formula>OR(WEEKDAY(B404,1)=7,WEEKDAY(B404,1)=1)</formula>
    </cfRule>
    <cfRule type="expression" dxfId="588" priority="164">
      <formula>OR($E404="VACACIONES",$E404="ENFERMEDAD")</formula>
    </cfRule>
    <cfRule type="expression" dxfId="589" priority="165">
      <formula>OR(WEEKDAY(B404,1)=7,WEEKDAY(B404,1)=1)</formula>
    </cfRule>
  </conditionalFormatting>
  <conditionalFormatting sqref="G404:H405">
    <cfRule type="expression" dxfId="586" priority="145">
      <formula>OR($E404="VACACIONES",$E404="ENFERMEDAD")</formula>
    </cfRule>
  </conditionalFormatting>
  <conditionalFormatting sqref="G404:H408">
    <cfRule type="expression" dxfId="585" priority="144">
      <formula>OR(WEEKDAY(B404,1)=7,WEEKDAY(B404,1)=1)</formula>
    </cfRule>
  </conditionalFormatting>
  <conditionalFormatting sqref="G407:H408">
    <cfRule type="expression" dxfId="584" priority="150">
      <formula>OR($E407="VACACIONES",$E407="ENFERMEDAD")</formula>
    </cfRule>
    <cfRule type="expression" dxfId="583" priority="153">
      <formula>OR(WEEKDAY(B407,1)=7,WEEKDAY(B407,1)=1)</formula>
    </cfRule>
    <cfRule type="expression" dxfId="582" priority="154">
      <formula>OR($E407="VACACIONES",$E407="ENFERMEDAD")</formula>
    </cfRule>
    <cfRule type="expression" dxfId="581" priority="155">
      <formula>OR(WEEKDAY(B407,1)=7,WEEKDAY(B407,1)=1)</formula>
    </cfRule>
  </conditionalFormatting>
  <conditionalFormatting sqref="G407:H411">
    <cfRule type="expression" dxfId="580" priority="628">
      <formula>OR(WEEKDAY(B407,1)=7,WEEKDAY(B407,1)=1)</formula>
    </cfRule>
  </conditionalFormatting>
  <conditionalFormatting sqref="G408:H408">
    <cfRule type="expression" dxfId="579" priority="132">
      <formula>OR(WEEKDAY(B408,1)=7,WEEKDAY(B408,1)=1)</formula>
    </cfRule>
    <cfRule type="expression" dxfId="578" priority="133">
      <formula>OR($E408="VACACIONES",$E408="ENFERMEDAD")</formula>
    </cfRule>
    <cfRule type="expression" dxfId="577" priority="136">
      <formula>OR(WEEKDAY(B408,1)=7,WEEKDAY(B408,1)=1)</formula>
    </cfRule>
    <cfRule type="expression" dxfId="576" priority="137">
      <formula>OR($E408="VACACIONES",$E408="ENFERMEDAD")</formula>
    </cfRule>
    <cfRule type="expression" dxfId="575" priority="138">
      <formula>OR(WEEKDAY(B408,1)=7,WEEKDAY(B408,1)=1)</formula>
    </cfRule>
  </conditionalFormatting>
  <conditionalFormatting sqref="G412:H514">
    <cfRule type="expression" dxfId="574" priority="2">
      <formula>OR(WEEKDAY(B412,1)=7,WEEKDAY(B412,1)=1)</formula>
    </cfRule>
  </conditionalFormatting>
  <conditionalFormatting sqref="G413:H413">
    <cfRule type="expression" dxfId="573" priority="122">
      <formula>OR($E413="VACACIONES",$E413="ENFERMEDAD")</formula>
    </cfRule>
  </conditionalFormatting>
  <conditionalFormatting sqref="G415:H415">
    <cfRule type="expression" dxfId="572" priority="126">
      <formula>OR($E415="VACACIONES",$E415="ENFERMEDAD")</formula>
    </cfRule>
  </conditionalFormatting>
  <conditionalFormatting sqref="G417:H418">
    <cfRule type="expression" dxfId="571" priority="117">
      <formula>OR($E417="VACACIONES",$E417="ENFERMEDAD")</formula>
    </cfRule>
  </conditionalFormatting>
  <conditionalFormatting sqref="G426:H431">
    <cfRule type="expression" dxfId="570" priority="104">
      <formula>OR($E426="VACACIONES",$E426="ENFERMEDAD")</formula>
    </cfRule>
  </conditionalFormatting>
  <conditionalFormatting sqref="G437:H437">
    <cfRule type="expression" dxfId="569" priority="92">
      <formula>OR($E437="VACACIONES",$E437="ENFERMEDAD")</formula>
    </cfRule>
  </conditionalFormatting>
  <conditionalFormatting sqref="G440:H441">
    <cfRule type="expression" dxfId="568" priority="88">
      <formula>OR($E440="VACACIONES",$E440="ENFERMEDAD")</formula>
    </cfRule>
  </conditionalFormatting>
  <conditionalFormatting sqref="G448:H448">
    <cfRule type="expression" dxfId="567" priority="81">
      <formula>OR($E448="VACACIONES",$E448="ENFERMEDAD")</formula>
    </cfRule>
  </conditionalFormatting>
  <conditionalFormatting sqref="G451:H451">
    <cfRule type="expression" dxfId="566" priority="77">
      <formula>OR($E451="VACACIONES",$E451="ENFERMEDAD")</formula>
    </cfRule>
  </conditionalFormatting>
  <conditionalFormatting sqref="G457:H457">
    <cfRule type="expression" dxfId="565" priority="67">
      <formula>OR($E457="VACACIONES",$E457="ENFERMEDAD")</formula>
    </cfRule>
  </conditionalFormatting>
  <conditionalFormatting sqref="G460:H460">
    <cfRule type="expression" dxfId="564" priority="64">
      <formula>OR($E460="VACACIONES",$E460="ENFERMEDAD")</formula>
    </cfRule>
  </conditionalFormatting>
  <conditionalFormatting sqref="G466:H466">
    <cfRule type="expression" dxfId="563" priority="55">
      <formula>OR($E466="VACACIONES",$E466="ENFERMEDAD")</formula>
    </cfRule>
  </conditionalFormatting>
  <conditionalFormatting sqref="G470:H470">
    <cfRule type="expression" dxfId="562" priority="50">
      <formula>OR($E470="VACACIONES",$E470="ENFERMEDAD")</formula>
    </cfRule>
  </conditionalFormatting>
  <conditionalFormatting sqref="G476:H476">
    <cfRule type="expression" dxfId="561" priority="32">
      <formula>OR($E476="VACACIONES",$E476="ENFERMEDAD")</formula>
    </cfRule>
  </conditionalFormatting>
  <conditionalFormatting sqref="G482:H482">
    <cfRule type="expression" dxfId="560" priority="24">
      <formula>OR($E482="VACACIONES",$E482="ENFERMEDAD")</formula>
    </cfRule>
  </conditionalFormatting>
  <conditionalFormatting sqref="G487:H487">
    <cfRule type="expression" dxfId="559" priority="16">
      <formula>OR($E487="VACACIONES",$E487="ENFERMEDAD")</formula>
    </cfRule>
  </conditionalFormatting>
  <conditionalFormatting sqref="G490:H490">
    <cfRule type="expression" dxfId="558" priority="12">
      <formula>OR($E490="VACACIONES",$E490="ENFERMEDAD")</formula>
    </cfRule>
  </conditionalFormatting>
  <conditionalFormatting sqref="G493:H493">
    <cfRule type="expression" dxfId="557" priority="6">
      <formula>OR($E493="VACACIONES",$E493="ENFERMEDAD")</formula>
    </cfRule>
  </conditionalFormatting>
  <conditionalFormatting sqref="G501:H501">
    <cfRule type="expression" dxfId="556" priority="20">
      <formula>OR($E501="VACACIONES",$E501="ENFERMEDAD")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A2FC-F657-4A69-AB06-665946F3E275}">
  <sheetPr filterMode="1">
    <pageSetUpPr fitToPage="1"/>
  </sheetPr>
  <dimension ref="A1:N510"/>
  <sheetViews>
    <sheetView showGridLines="0" zoomScaleNormal="100" workbookViewId="0">
      <pane xSplit="4" ySplit="3" topLeftCell="E197" activePane="bottomRight" state="frozen"/>
      <selection activeCell="G380" sqref="G380"/>
      <selection pane="topRight" activeCell="G380" sqref="G380"/>
      <selection pane="bottomLeft" activeCell="G380" sqref="G380"/>
      <selection pane="bottomRight" activeCell="G380" sqref="G380"/>
    </sheetView>
  </sheetViews>
  <sheetFormatPr baseColWidth="10" defaultColWidth="11.42578125" defaultRowHeight="15" x14ac:dyDescent="0.25"/>
  <cols>
    <col min="1" max="1" width="7" style="1" customWidth="1"/>
    <col min="2" max="3" width="5.7109375" style="2" customWidth="1"/>
    <col min="4" max="4" width="5.7109375" style="3" customWidth="1"/>
    <col min="5" max="5" width="11.5703125" customWidth="1"/>
    <col min="6" max="6" width="44.42578125" style="7" customWidth="1"/>
    <col min="7" max="7" width="21.5703125" style="6" bestFit="1" customWidth="1"/>
    <col min="8" max="8" width="53" style="6" bestFit="1" customWidth="1"/>
    <col min="9" max="9" width="4.42578125" style="7" customWidth="1"/>
    <col min="10" max="10" width="15.7109375" style="7" customWidth="1"/>
    <col min="11" max="11" width="15.28515625" customWidth="1"/>
    <col min="12" max="12" width="15.7109375" customWidth="1"/>
    <col min="13" max="24" width="10.7109375" customWidth="1"/>
    <col min="25" max="309" width="4.7109375" customWidth="1"/>
  </cols>
  <sheetData>
    <row r="1" spans="1:14" ht="15.75" thickBot="1" x14ac:dyDescent="0.3">
      <c r="A1" s="1" t="s">
        <v>0</v>
      </c>
      <c r="E1" s="4" t="s">
        <v>1</v>
      </c>
      <c r="F1" s="5">
        <f>SUBTOTAL(9,$E$4:$E$510)</f>
        <v>307.5</v>
      </c>
      <c r="J1" s="8"/>
    </row>
    <row r="2" spans="1:14" s="17" customFormat="1" ht="12" x14ac:dyDescent="0.2">
      <c r="A2" s="9"/>
      <c r="B2" s="10"/>
      <c r="C2" s="10"/>
      <c r="D2" s="11"/>
      <c r="E2" s="12"/>
      <c r="F2" s="13" t="s">
        <v>2</v>
      </c>
      <c r="G2" s="13" t="s">
        <v>3</v>
      </c>
      <c r="H2" s="14" t="s">
        <v>4</v>
      </c>
      <c r="I2" s="15"/>
      <c r="J2" s="16" t="s">
        <v>5</v>
      </c>
      <c r="K2" s="15"/>
      <c r="L2" s="15"/>
      <c r="N2" s="17" t="s">
        <v>81</v>
      </c>
    </row>
    <row r="3" spans="1:14" s="4" customFormat="1" x14ac:dyDescent="0.25">
      <c r="A3" s="18"/>
      <c r="B3" s="19"/>
      <c r="C3" s="19"/>
      <c r="D3" s="20"/>
      <c r="E3" s="21"/>
      <c r="F3" s="22"/>
      <c r="G3" s="22"/>
      <c r="H3" s="23"/>
      <c r="I3" s="24"/>
      <c r="J3" s="25">
        <f>SUBTOTAL(9,J4:J510)</f>
        <v>279.5</v>
      </c>
      <c r="K3" s="26"/>
      <c r="L3" s="27"/>
      <c r="N3" s="4">
        <v>6</v>
      </c>
    </row>
    <row r="4" spans="1:14" hidden="1" x14ac:dyDescent="0.25">
      <c r="A4" s="28">
        <v>45658</v>
      </c>
      <c r="B4" s="29">
        <v>45658</v>
      </c>
      <c r="C4" s="30">
        <v>45658</v>
      </c>
      <c r="D4" s="36">
        <f t="shared" ref="D4" si="0">WEEKNUM(A4)</f>
        <v>1</v>
      </c>
      <c r="E4" s="32"/>
      <c r="F4" s="33"/>
      <c r="G4" s="34"/>
      <c r="H4" s="34"/>
      <c r="I4" s="33"/>
      <c r="J4" s="35"/>
    </row>
    <row r="5" spans="1:14" hidden="1" x14ac:dyDescent="0.25">
      <c r="A5" s="28">
        <f t="shared" ref="A5:A66" si="1">B5</f>
        <v>45659</v>
      </c>
      <c r="B5" s="29">
        <f>+B4+1</f>
        <v>45659</v>
      </c>
      <c r="C5" s="30">
        <f t="shared" ref="C5:C66" si="2">B5</f>
        <v>45659</v>
      </c>
      <c r="D5" s="36">
        <f>WEEKNUM(A5)</f>
        <v>1</v>
      </c>
      <c r="E5" s="32">
        <v>8.5</v>
      </c>
      <c r="F5" s="67" t="s">
        <v>82</v>
      </c>
      <c r="G5" s="43" t="s">
        <v>83</v>
      </c>
      <c r="H5" s="43" t="s">
        <v>39</v>
      </c>
      <c r="I5" s="33"/>
      <c r="J5" s="35"/>
    </row>
    <row r="6" spans="1:14" hidden="1" x14ac:dyDescent="0.25">
      <c r="A6" s="28">
        <f t="shared" si="1"/>
        <v>45660</v>
      </c>
      <c r="B6" s="29">
        <f t="shared" ref="B6:B66" si="3">+B5+1</f>
        <v>45660</v>
      </c>
      <c r="C6" s="30">
        <f t="shared" si="2"/>
        <v>45660</v>
      </c>
      <c r="D6" s="36">
        <f t="shared" ref="D6:D114" si="4">WEEKNUM(A6)</f>
        <v>1</v>
      </c>
      <c r="E6" s="32">
        <v>6</v>
      </c>
      <c r="F6" s="67" t="s">
        <v>82</v>
      </c>
      <c r="G6" s="43" t="s">
        <v>83</v>
      </c>
      <c r="H6" s="43" t="s">
        <v>39</v>
      </c>
      <c r="I6" s="33"/>
      <c r="J6" s="35">
        <f>SUM(E4:E6)</f>
        <v>14.5</v>
      </c>
    </row>
    <row r="7" spans="1:14" hidden="1" x14ac:dyDescent="0.25">
      <c r="A7" s="28">
        <f t="shared" si="1"/>
        <v>45661</v>
      </c>
      <c r="B7" s="29">
        <f t="shared" si="3"/>
        <v>45661</v>
      </c>
      <c r="C7" s="30">
        <f t="shared" si="2"/>
        <v>45661</v>
      </c>
      <c r="D7" s="36">
        <f t="shared" si="4"/>
        <v>1</v>
      </c>
      <c r="E7" s="32"/>
      <c r="F7" s="33"/>
      <c r="G7" s="34"/>
      <c r="H7" s="34"/>
      <c r="I7" s="33"/>
      <c r="J7" s="35"/>
    </row>
    <row r="8" spans="1:14" hidden="1" x14ac:dyDescent="0.25">
      <c r="A8" s="28">
        <f t="shared" si="1"/>
        <v>45662</v>
      </c>
      <c r="B8" s="29">
        <f t="shared" si="3"/>
        <v>45662</v>
      </c>
      <c r="C8" s="30">
        <f t="shared" si="2"/>
        <v>45662</v>
      </c>
      <c r="D8" s="36">
        <f t="shared" si="4"/>
        <v>2</v>
      </c>
      <c r="E8" s="32"/>
      <c r="F8" s="33"/>
      <c r="G8" s="34"/>
      <c r="H8" s="34"/>
      <c r="I8" s="33"/>
      <c r="J8" s="35"/>
    </row>
    <row r="9" spans="1:14" hidden="1" x14ac:dyDescent="0.25">
      <c r="A9" s="28">
        <f t="shared" si="1"/>
        <v>45663</v>
      </c>
      <c r="B9" s="29">
        <f t="shared" si="3"/>
        <v>45663</v>
      </c>
      <c r="C9" s="30">
        <f t="shared" si="2"/>
        <v>45663</v>
      </c>
      <c r="D9" s="36">
        <f t="shared" si="4"/>
        <v>2</v>
      </c>
      <c r="E9" s="54" t="s">
        <v>33</v>
      </c>
      <c r="F9" s="66"/>
      <c r="G9" s="56"/>
      <c r="H9" s="56"/>
      <c r="I9" s="33"/>
      <c r="J9" s="35"/>
    </row>
    <row r="10" spans="1:14" hidden="1" x14ac:dyDescent="0.25">
      <c r="A10" s="28">
        <f t="shared" si="1"/>
        <v>45664</v>
      </c>
      <c r="B10" s="29">
        <f t="shared" si="3"/>
        <v>45664</v>
      </c>
      <c r="C10" s="30">
        <f t="shared" si="2"/>
        <v>45664</v>
      </c>
      <c r="D10" s="36">
        <f t="shared" si="4"/>
        <v>2</v>
      </c>
      <c r="E10" s="32">
        <v>8.5</v>
      </c>
      <c r="F10" s="67" t="s">
        <v>82</v>
      </c>
      <c r="G10" s="43" t="s">
        <v>83</v>
      </c>
      <c r="H10" s="43" t="s">
        <v>39</v>
      </c>
      <c r="I10" s="33"/>
      <c r="J10" s="35"/>
    </row>
    <row r="11" spans="1:14" hidden="1" x14ac:dyDescent="0.25">
      <c r="A11" s="28">
        <f t="shared" si="1"/>
        <v>45665</v>
      </c>
      <c r="B11" s="29">
        <f t="shared" si="3"/>
        <v>45665</v>
      </c>
      <c r="C11" s="30">
        <f t="shared" si="2"/>
        <v>45665</v>
      </c>
      <c r="D11" s="36">
        <f t="shared" si="4"/>
        <v>2</v>
      </c>
      <c r="E11" s="32">
        <v>8.5</v>
      </c>
      <c r="F11" s="67" t="s">
        <v>82</v>
      </c>
      <c r="G11" s="43" t="s">
        <v>83</v>
      </c>
      <c r="H11" s="43" t="s">
        <v>39</v>
      </c>
      <c r="I11" s="33"/>
      <c r="J11" s="35"/>
    </row>
    <row r="12" spans="1:14" hidden="1" x14ac:dyDescent="0.25">
      <c r="A12" s="28">
        <f t="shared" si="1"/>
        <v>45666</v>
      </c>
      <c r="B12" s="29">
        <f t="shared" si="3"/>
        <v>45666</v>
      </c>
      <c r="C12" s="30">
        <f t="shared" si="2"/>
        <v>45666</v>
      </c>
      <c r="D12" s="36">
        <f t="shared" si="4"/>
        <v>2</v>
      </c>
      <c r="E12" s="32">
        <v>8.5</v>
      </c>
      <c r="F12" s="67" t="s">
        <v>82</v>
      </c>
      <c r="G12" s="43" t="s">
        <v>83</v>
      </c>
      <c r="H12" s="43" t="s">
        <v>39</v>
      </c>
      <c r="I12" s="33"/>
      <c r="J12" s="35"/>
    </row>
    <row r="13" spans="1:14" hidden="1" x14ac:dyDescent="0.25">
      <c r="A13" s="28">
        <f t="shared" si="1"/>
        <v>45667</v>
      </c>
      <c r="B13" s="29">
        <f t="shared" si="3"/>
        <v>45667</v>
      </c>
      <c r="C13" s="30">
        <f t="shared" si="2"/>
        <v>45667</v>
      </c>
      <c r="D13" s="36">
        <f t="shared" si="4"/>
        <v>2</v>
      </c>
      <c r="E13" s="32">
        <v>6</v>
      </c>
      <c r="F13" s="67" t="s">
        <v>82</v>
      </c>
      <c r="G13" s="43" t="s">
        <v>83</v>
      </c>
      <c r="H13" s="43" t="s">
        <v>39</v>
      </c>
      <c r="I13" s="33"/>
      <c r="J13" s="35">
        <f>SUM(E9:E13)</f>
        <v>31.5</v>
      </c>
    </row>
    <row r="14" spans="1:14" hidden="1" x14ac:dyDescent="0.25">
      <c r="A14" s="28">
        <f t="shared" si="1"/>
        <v>45668</v>
      </c>
      <c r="B14" s="29">
        <f t="shared" si="3"/>
        <v>45668</v>
      </c>
      <c r="C14" s="30">
        <f t="shared" si="2"/>
        <v>45668</v>
      </c>
      <c r="D14" s="36">
        <f t="shared" si="4"/>
        <v>2</v>
      </c>
      <c r="E14" s="32"/>
      <c r="F14" s="67"/>
      <c r="G14" s="43"/>
      <c r="H14" s="43"/>
      <c r="I14" s="33"/>
      <c r="J14" s="35"/>
    </row>
    <row r="15" spans="1:14" hidden="1" x14ac:dyDescent="0.25">
      <c r="A15" s="28">
        <f t="shared" si="1"/>
        <v>45669</v>
      </c>
      <c r="B15" s="29">
        <f t="shared" si="3"/>
        <v>45669</v>
      </c>
      <c r="C15" s="30">
        <f t="shared" si="2"/>
        <v>45669</v>
      </c>
      <c r="D15" s="36">
        <f t="shared" si="4"/>
        <v>3</v>
      </c>
      <c r="E15" s="32"/>
      <c r="F15" s="67"/>
      <c r="G15" s="43"/>
      <c r="H15" s="43"/>
      <c r="I15" s="33"/>
      <c r="J15" s="35"/>
    </row>
    <row r="16" spans="1:14" hidden="1" x14ac:dyDescent="0.25">
      <c r="A16" s="28">
        <f t="shared" si="1"/>
        <v>45670</v>
      </c>
      <c r="B16" s="29">
        <f t="shared" si="3"/>
        <v>45670</v>
      </c>
      <c r="C16" s="30">
        <f t="shared" si="2"/>
        <v>45670</v>
      </c>
      <c r="D16" s="36">
        <f t="shared" si="4"/>
        <v>3</v>
      </c>
      <c r="E16" s="37">
        <v>8.5</v>
      </c>
      <c r="F16" s="38" t="s">
        <v>15</v>
      </c>
      <c r="G16" s="39" t="s">
        <v>19</v>
      </c>
      <c r="H16" s="39" t="s">
        <v>84</v>
      </c>
      <c r="I16" s="33"/>
      <c r="J16" s="35"/>
    </row>
    <row r="17" spans="1:10" x14ac:dyDescent="0.25">
      <c r="A17" s="28">
        <f t="shared" si="1"/>
        <v>45671</v>
      </c>
      <c r="B17" s="29">
        <f t="shared" si="3"/>
        <v>45671</v>
      </c>
      <c r="C17" s="30">
        <f t="shared" si="2"/>
        <v>45671</v>
      </c>
      <c r="D17" s="36">
        <f t="shared" si="4"/>
        <v>3</v>
      </c>
      <c r="E17" s="32">
        <v>7</v>
      </c>
      <c r="F17" s="67" t="s">
        <v>34</v>
      </c>
      <c r="G17" s="43" t="s">
        <v>35</v>
      </c>
      <c r="H17" s="43" t="s">
        <v>85</v>
      </c>
      <c r="I17" s="33"/>
      <c r="J17" s="35"/>
    </row>
    <row r="18" spans="1:10" hidden="1" x14ac:dyDescent="0.25">
      <c r="A18" s="28">
        <v>45671</v>
      </c>
      <c r="B18" s="29">
        <v>45671</v>
      </c>
      <c r="C18" s="30">
        <v>45671</v>
      </c>
      <c r="D18" s="36">
        <v>3</v>
      </c>
      <c r="E18" s="32">
        <v>1.5</v>
      </c>
      <c r="F18" s="67" t="s">
        <v>15</v>
      </c>
      <c r="G18" s="43" t="s">
        <v>16</v>
      </c>
      <c r="H18" s="43" t="s">
        <v>17</v>
      </c>
      <c r="I18" s="33"/>
      <c r="J18" s="35"/>
    </row>
    <row r="19" spans="1:10" x14ac:dyDescent="0.25">
      <c r="A19" s="28">
        <f t="shared" si="1"/>
        <v>45672</v>
      </c>
      <c r="B19" s="29">
        <f>+B17+1</f>
        <v>45672</v>
      </c>
      <c r="C19" s="30">
        <f t="shared" si="2"/>
        <v>45672</v>
      </c>
      <c r="D19" s="36">
        <f t="shared" si="4"/>
        <v>3</v>
      </c>
      <c r="E19" s="37">
        <v>8.5</v>
      </c>
      <c r="F19" s="38" t="s">
        <v>34</v>
      </c>
      <c r="G19" s="39" t="s">
        <v>35</v>
      </c>
      <c r="H19" s="39" t="s">
        <v>85</v>
      </c>
      <c r="I19" s="33"/>
      <c r="J19" s="35"/>
    </row>
    <row r="20" spans="1:10" x14ac:dyDescent="0.25">
      <c r="A20" s="28">
        <f t="shared" si="1"/>
        <v>45673</v>
      </c>
      <c r="B20" s="29">
        <f t="shared" si="3"/>
        <v>45673</v>
      </c>
      <c r="C20" s="30">
        <f t="shared" si="2"/>
        <v>45673</v>
      </c>
      <c r="D20" s="36">
        <f t="shared" si="4"/>
        <v>3</v>
      </c>
      <c r="E20" s="32">
        <v>7</v>
      </c>
      <c r="F20" s="67" t="s">
        <v>34</v>
      </c>
      <c r="G20" s="43" t="s">
        <v>35</v>
      </c>
      <c r="H20" s="43" t="s">
        <v>85</v>
      </c>
      <c r="I20" s="33"/>
      <c r="J20" s="35"/>
    </row>
    <row r="21" spans="1:10" hidden="1" x14ac:dyDescent="0.25">
      <c r="A21" s="28">
        <v>45673</v>
      </c>
      <c r="B21" s="29">
        <v>45673</v>
      </c>
      <c r="C21" s="30">
        <v>45673</v>
      </c>
      <c r="D21" s="36">
        <v>3</v>
      </c>
      <c r="E21" s="32">
        <v>1.5</v>
      </c>
      <c r="F21" s="67" t="s">
        <v>15</v>
      </c>
      <c r="G21" s="43" t="s">
        <v>16</v>
      </c>
      <c r="H21" s="43" t="s">
        <v>17</v>
      </c>
      <c r="I21" s="33"/>
      <c r="J21" s="35"/>
    </row>
    <row r="22" spans="1:10" hidden="1" x14ac:dyDescent="0.25">
      <c r="A22" s="28">
        <f t="shared" si="1"/>
        <v>45674</v>
      </c>
      <c r="B22" s="29">
        <f>+B20+1</f>
        <v>45674</v>
      </c>
      <c r="C22" s="30">
        <f t="shared" si="2"/>
        <v>45674</v>
      </c>
      <c r="D22" s="36">
        <f t="shared" si="4"/>
        <v>3</v>
      </c>
      <c r="E22" s="32">
        <v>6</v>
      </c>
      <c r="F22" s="67" t="s">
        <v>82</v>
      </c>
      <c r="G22" s="43" t="s">
        <v>83</v>
      </c>
      <c r="H22" s="43" t="s">
        <v>39</v>
      </c>
      <c r="I22" s="33"/>
      <c r="J22" s="35">
        <f>SUM(E16:E22)</f>
        <v>40</v>
      </c>
    </row>
    <row r="23" spans="1:10" hidden="1" x14ac:dyDescent="0.25">
      <c r="A23" s="28">
        <f t="shared" si="1"/>
        <v>45675</v>
      </c>
      <c r="B23" s="29">
        <f t="shared" si="3"/>
        <v>45675</v>
      </c>
      <c r="C23" s="30">
        <f t="shared" si="2"/>
        <v>45675</v>
      </c>
      <c r="D23" s="36">
        <f t="shared" si="4"/>
        <v>3</v>
      </c>
      <c r="E23" s="32"/>
      <c r="F23" s="67"/>
      <c r="G23" s="43"/>
      <c r="H23" s="43"/>
      <c r="I23" s="33"/>
      <c r="J23" s="35"/>
    </row>
    <row r="24" spans="1:10" hidden="1" x14ac:dyDescent="0.25">
      <c r="A24" s="28">
        <f t="shared" si="1"/>
        <v>45676</v>
      </c>
      <c r="B24" s="29">
        <f t="shared" si="3"/>
        <v>45676</v>
      </c>
      <c r="C24" s="30">
        <f t="shared" si="2"/>
        <v>45676</v>
      </c>
      <c r="D24" s="36">
        <f t="shared" si="4"/>
        <v>4</v>
      </c>
      <c r="E24" s="32"/>
      <c r="F24" s="67"/>
      <c r="G24" s="43"/>
      <c r="H24" s="43"/>
      <c r="I24" s="33"/>
      <c r="J24" s="35"/>
    </row>
    <row r="25" spans="1:10" x14ac:dyDescent="0.25">
      <c r="A25" s="28">
        <f t="shared" si="1"/>
        <v>45677</v>
      </c>
      <c r="B25" s="29">
        <f t="shared" si="3"/>
        <v>45677</v>
      </c>
      <c r="C25" s="30">
        <f t="shared" si="2"/>
        <v>45677</v>
      </c>
      <c r="D25" s="36">
        <f t="shared" si="4"/>
        <v>4</v>
      </c>
      <c r="E25" s="37">
        <v>7</v>
      </c>
      <c r="F25" s="38" t="s">
        <v>34</v>
      </c>
      <c r="G25" s="39" t="s">
        <v>35</v>
      </c>
      <c r="H25" s="39" t="s">
        <v>85</v>
      </c>
      <c r="I25" s="33"/>
      <c r="J25" s="35"/>
    </row>
    <row r="26" spans="1:10" hidden="1" x14ac:dyDescent="0.25">
      <c r="A26" s="28">
        <v>45677</v>
      </c>
      <c r="B26" s="29">
        <v>45677</v>
      </c>
      <c r="C26" s="30">
        <v>45677</v>
      </c>
      <c r="D26" s="36">
        <v>4</v>
      </c>
      <c r="E26" s="37">
        <v>1.5</v>
      </c>
      <c r="F26" s="38" t="s">
        <v>9</v>
      </c>
      <c r="G26" s="39" t="s">
        <v>50</v>
      </c>
      <c r="H26" s="39" t="s">
        <v>86</v>
      </c>
      <c r="I26" s="33"/>
      <c r="J26" s="35"/>
    </row>
    <row r="27" spans="1:10" hidden="1" x14ac:dyDescent="0.25">
      <c r="A27" s="28">
        <f t="shared" si="1"/>
        <v>45678</v>
      </c>
      <c r="B27" s="29">
        <f>+B25+1</f>
        <v>45678</v>
      </c>
      <c r="C27" s="30">
        <f t="shared" si="2"/>
        <v>45678</v>
      </c>
      <c r="D27" s="36">
        <f t="shared" si="4"/>
        <v>4</v>
      </c>
      <c r="E27" s="32">
        <v>1</v>
      </c>
      <c r="F27" s="67" t="s">
        <v>23</v>
      </c>
      <c r="G27" s="43" t="s">
        <v>24</v>
      </c>
      <c r="H27" s="43" t="s">
        <v>87</v>
      </c>
      <c r="I27" s="33"/>
      <c r="J27" s="35"/>
    </row>
    <row r="28" spans="1:10" hidden="1" x14ac:dyDescent="0.25">
      <c r="A28" s="28">
        <v>45678</v>
      </c>
      <c r="B28" s="29">
        <v>45678</v>
      </c>
      <c r="C28" s="30">
        <v>45678</v>
      </c>
      <c r="D28" s="36">
        <v>4</v>
      </c>
      <c r="E28" s="32">
        <v>2</v>
      </c>
      <c r="F28" s="67" t="s">
        <v>9</v>
      </c>
      <c r="G28" s="43" t="s">
        <v>50</v>
      </c>
      <c r="H28" s="43" t="s">
        <v>86</v>
      </c>
      <c r="I28" s="33"/>
      <c r="J28" s="35"/>
    </row>
    <row r="29" spans="1:10" hidden="1" x14ac:dyDescent="0.25">
      <c r="A29" s="28">
        <v>45678</v>
      </c>
      <c r="B29" s="29">
        <v>45678</v>
      </c>
      <c r="C29" s="30">
        <v>45678</v>
      </c>
      <c r="D29" s="36">
        <v>4</v>
      </c>
      <c r="E29" s="32">
        <v>2</v>
      </c>
      <c r="F29" s="67" t="s">
        <v>6</v>
      </c>
      <c r="G29" s="43" t="s">
        <v>26</v>
      </c>
      <c r="H29" s="43" t="s">
        <v>40</v>
      </c>
      <c r="I29" s="33"/>
      <c r="J29" s="35"/>
    </row>
    <row r="30" spans="1:10" x14ac:dyDescent="0.25">
      <c r="A30" s="28">
        <v>45678</v>
      </c>
      <c r="B30" s="29">
        <v>45678</v>
      </c>
      <c r="C30" s="30">
        <v>45678</v>
      </c>
      <c r="D30" s="36">
        <v>4</v>
      </c>
      <c r="E30" s="32">
        <v>2</v>
      </c>
      <c r="F30" s="67" t="s">
        <v>34</v>
      </c>
      <c r="G30" s="43" t="s">
        <v>35</v>
      </c>
      <c r="H30" s="43" t="s">
        <v>85</v>
      </c>
      <c r="I30" s="33"/>
      <c r="J30" s="35"/>
    </row>
    <row r="31" spans="1:10" hidden="1" x14ac:dyDescent="0.25">
      <c r="A31" s="28">
        <v>45678</v>
      </c>
      <c r="B31" s="29">
        <v>45678</v>
      </c>
      <c r="C31" s="30">
        <v>45678</v>
      </c>
      <c r="D31" s="36">
        <v>4</v>
      </c>
      <c r="E31" s="32">
        <v>1.5</v>
      </c>
      <c r="F31" s="67" t="s">
        <v>15</v>
      </c>
      <c r="G31" s="43" t="s">
        <v>16</v>
      </c>
      <c r="H31" s="43" t="s">
        <v>17</v>
      </c>
      <c r="I31" s="33"/>
      <c r="J31" s="35"/>
    </row>
    <row r="32" spans="1:10" hidden="1" x14ac:dyDescent="0.25">
      <c r="A32" s="28">
        <f t="shared" si="1"/>
        <v>45679</v>
      </c>
      <c r="B32" s="29">
        <f>+B27+1</f>
        <v>45679</v>
      </c>
      <c r="C32" s="30">
        <f t="shared" si="2"/>
        <v>45679</v>
      </c>
      <c r="D32" s="36">
        <f t="shared" si="4"/>
        <v>4</v>
      </c>
      <c r="E32" s="37">
        <v>8.5</v>
      </c>
      <c r="F32" s="38" t="s">
        <v>6</v>
      </c>
      <c r="G32" s="39" t="s">
        <v>26</v>
      </c>
      <c r="H32" s="39" t="s">
        <v>40</v>
      </c>
      <c r="I32" s="33"/>
      <c r="J32" s="35"/>
    </row>
    <row r="33" spans="1:10" hidden="1" x14ac:dyDescent="0.25">
      <c r="A33" s="28">
        <f t="shared" si="1"/>
        <v>45680</v>
      </c>
      <c r="B33" s="29">
        <f t="shared" si="3"/>
        <v>45680</v>
      </c>
      <c r="C33" s="30">
        <f t="shared" si="2"/>
        <v>45680</v>
      </c>
      <c r="D33" s="36">
        <f t="shared" si="4"/>
        <v>4</v>
      </c>
      <c r="E33" s="32">
        <v>8.5</v>
      </c>
      <c r="F33" s="67" t="s">
        <v>6</v>
      </c>
      <c r="G33" s="43" t="s">
        <v>26</v>
      </c>
      <c r="H33" s="43" t="s">
        <v>40</v>
      </c>
      <c r="I33" s="44"/>
      <c r="J33" s="35"/>
    </row>
    <row r="34" spans="1:10" hidden="1" x14ac:dyDescent="0.25">
      <c r="A34" s="28">
        <v>45680</v>
      </c>
      <c r="B34" s="29">
        <v>45680</v>
      </c>
      <c r="C34" s="30">
        <v>45680</v>
      </c>
      <c r="D34" s="36">
        <v>4</v>
      </c>
      <c r="E34" s="58">
        <v>0</v>
      </c>
      <c r="F34" s="68" t="s">
        <v>15</v>
      </c>
      <c r="G34" s="69" t="s">
        <v>16</v>
      </c>
      <c r="H34" s="69" t="s">
        <v>17</v>
      </c>
      <c r="I34" s="44"/>
      <c r="J34" s="35"/>
    </row>
    <row r="35" spans="1:10" hidden="1" x14ac:dyDescent="0.25">
      <c r="A35" s="28">
        <f t="shared" si="1"/>
        <v>45681</v>
      </c>
      <c r="B35" s="29">
        <f>+B33+1</f>
        <v>45681</v>
      </c>
      <c r="C35" s="30">
        <f t="shared" si="2"/>
        <v>45681</v>
      </c>
      <c r="D35" s="36">
        <f t="shared" si="4"/>
        <v>4</v>
      </c>
      <c r="E35" s="32">
        <v>2</v>
      </c>
      <c r="F35" s="67" t="s">
        <v>6</v>
      </c>
      <c r="G35" s="43" t="s">
        <v>26</v>
      </c>
      <c r="H35" s="43" t="s">
        <v>40</v>
      </c>
      <c r="I35" s="44"/>
      <c r="J35" s="35"/>
    </row>
    <row r="36" spans="1:10" x14ac:dyDescent="0.25">
      <c r="A36" s="28">
        <v>45681</v>
      </c>
      <c r="B36" s="29">
        <v>45681</v>
      </c>
      <c r="C36" s="30">
        <v>45681</v>
      </c>
      <c r="D36" s="36">
        <v>4</v>
      </c>
      <c r="E36" s="37">
        <v>4</v>
      </c>
      <c r="F36" s="38" t="s">
        <v>34</v>
      </c>
      <c r="G36" s="39" t="s">
        <v>35</v>
      </c>
      <c r="H36" s="39" t="s">
        <v>85</v>
      </c>
      <c r="I36" s="44"/>
      <c r="J36" s="35">
        <f>SUM(E25:E36)</f>
        <v>40</v>
      </c>
    </row>
    <row r="37" spans="1:10" hidden="1" x14ac:dyDescent="0.25">
      <c r="A37" s="28">
        <f t="shared" si="1"/>
        <v>45682</v>
      </c>
      <c r="B37" s="29">
        <f>+B35+1</f>
        <v>45682</v>
      </c>
      <c r="C37" s="30">
        <f t="shared" si="2"/>
        <v>45682</v>
      </c>
      <c r="D37" s="36">
        <f t="shared" si="4"/>
        <v>4</v>
      </c>
      <c r="E37" s="32"/>
      <c r="F37" s="67"/>
      <c r="G37" s="43"/>
      <c r="H37" s="43"/>
      <c r="I37" s="44"/>
      <c r="J37" s="35"/>
    </row>
    <row r="38" spans="1:10" hidden="1" x14ac:dyDescent="0.25">
      <c r="A38" s="28">
        <f t="shared" si="1"/>
        <v>45683</v>
      </c>
      <c r="B38" s="29">
        <f t="shared" si="3"/>
        <v>45683</v>
      </c>
      <c r="C38" s="30">
        <f t="shared" si="2"/>
        <v>45683</v>
      </c>
      <c r="D38" s="36">
        <f t="shared" si="4"/>
        <v>5</v>
      </c>
      <c r="E38" s="32"/>
      <c r="F38" s="33"/>
      <c r="G38" s="43"/>
      <c r="H38" s="43"/>
      <c r="I38" s="44"/>
      <c r="J38" s="35"/>
    </row>
    <row r="39" spans="1:10" x14ac:dyDescent="0.25">
      <c r="A39" s="28">
        <f t="shared" si="1"/>
        <v>45684</v>
      </c>
      <c r="B39" s="29">
        <f t="shared" si="3"/>
        <v>45684</v>
      </c>
      <c r="C39" s="30">
        <f t="shared" si="2"/>
        <v>45684</v>
      </c>
      <c r="D39" s="36">
        <f t="shared" si="4"/>
        <v>5</v>
      </c>
      <c r="E39" s="37">
        <v>1</v>
      </c>
      <c r="F39" s="38" t="s">
        <v>34</v>
      </c>
      <c r="G39" s="39" t="s">
        <v>35</v>
      </c>
      <c r="H39" s="39" t="s">
        <v>88</v>
      </c>
      <c r="I39" s="44"/>
      <c r="J39" s="35"/>
    </row>
    <row r="40" spans="1:10" hidden="1" x14ac:dyDescent="0.25">
      <c r="A40" s="28">
        <v>45684</v>
      </c>
      <c r="B40" s="29">
        <v>45684</v>
      </c>
      <c r="C40" s="30">
        <v>45684</v>
      </c>
      <c r="D40" s="36">
        <v>5</v>
      </c>
      <c r="E40" s="37">
        <v>6.5</v>
      </c>
      <c r="F40" s="38" t="s">
        <v>6</v>
      </c>
      <c r="G40" s="39" t="s">
        <v>26</v>
      </c>
      <c r="H40" s="39" t="s">
        <v>40</v>
      </c>
      <c r="I40" s="44"/>
      <c r="J40" s="35"/>
    </row>
    <row r="41" spans="1:10" x14ac:dyDescent="0.25">
      <c r="A41" s="28">
        <v>45684</v>
      </c>
      <c r="B41" s="29">
        <v>45684</v>
      </c>
      <c r="C41" s="30">
        <v>45684</v>
      </c>
      <c r="D41" s="36">
        <v>5</v>
      </c>
      <c r="E41" s="37">
        <v>1</v>
      </c>
      <c r="F41" s="38" t="s">
        <v>34</v>
      </c>
      <c r="G41" s="39" t="s">
        <v>35</v>
      </c>
      <c r="H41" s="39" t="s">
        <v>85</v>
      </c>
      <c r="I41" s="44"/>
      <c r="J41" s="35"/>
    </row>
    <row r="42" spans="1:10" hidden="1" x14ac:dyDescent="0.25">
      <c r="A42" s="28">
        <f t="shared" si="1"/>
        <v>45685</v>
      </c>
      <c r="B42" s="29">
        <f>+B39+1</f>
        <v>45685</v>
      </c>
      <c r="C42" s="30">
        <f t="shared" si="2"/>
        <v>45685</v>
      </c>
      <c r="D42" s="36">
        <f t="shared" si="4"/>
        <v>5</v>
      </c>
      <c r="E42" s="32">
        <v>1.5</v>
      </c>
      <c r="F42" s="67" t="s">
        <v>15</v>
      </c>
      <c r="G42" s="43" t="s">
        <v>16</v>
      </c>
      <c r="H42" s="43" t="s">
        <v>17</v>
      </c>
      <c r="I42" s="44"/>
      <c r="J42" s="35"/>
    </row>
    <row r="43" spans="1:10" x14ac:dyDescent="0.25">
      <c r="A43" s="28">
        <v>45685</v>
      </c>
      <c r="B43" s="29">
        <v>45685</v>
      </c>
      <c r="C43" s="30">
        <v>45685</v>
      </c>
      <c r="D43" s="36">
        <v>5</v>
      </c>
      <c r="E43" s="32">
        <v>7</v>
      </c>
      <c r="F43" s="67" t="s">
        <v>34</v>
      </c>
      <c r="G43" s="43" t="s">
        <v>35</v>
      </c>
      <c r="H43" s="43" t="s">
        <v>85</v>
      </c>
      <c r="I43" s="44"/>
      <c r="J43" s="35"/>
    </row>
    <row r="44" spans="1:10" hidden="1" x14ac:dyDescent="0.25">
      <c r="A44" s="28">
        <f t="shared" si="1"/>
        <v>45686</v>
      </c>
      <c r="B44" s="29">
        <f>+B42+1</f>
        <v>45686</v>
      </c>
      <c r="C44" s="30">
        <f t="shared" si="2"/>
        <v>45686</v>
      </c>
      <c r="D44" s="36">
        <f t="shared" si="4"/>
        <v>5</v>
      </c>
      <c r="E44" s="37">
        <v>2</v>
      </c>
      <c r="F44" s="38" t="s">
        <v>9</v>
      </c>
      <c r="G44" s="39" t="s">
        <v>50</v>
      </c>
      <c r="H44" s="39" t="s">
        <v>89</v>
      </c>
      <c r="I44" s="44"/>
      <c r="J44" s="35"/>
    </row>
    <row r="45" spans="1:10" x14ac:dyDescent="0.25">
      <c r="A45" s="28">
        <v>45686</v>
      </c>
      <c r="B45" s="29">
        <v>45686</v>
      </c>
      <c r="C45" s="30">
        <v>45686</v>
      </c>
      <c r="D45" s="36">
        <v>5</v>
      </c>
      <c r="E45" s="37">
        <v>6.5</v>
      </c>
      <c r="F45" s="38" t="s">
        <v>34</v>
      </c>
      <c r="G45" s="39" t="s">
        <v>35</v>
      </c>
      <c r="H45" s="39" t="s">
        <v>85</v>
      </c>
      <c r="I45" s="44"/>
      <c r="J45" s="35"/>
    </row>
    <row r="46" spans="1:10" hidden="1" x14ac:dyDescent="0.25">
      <c r="A46" s="28">
        <f t="shared" si="1"/>
        <v>45687</v>
      </c>
      <c r="B46" s="29">
        <f>+B44+1</f>
        <v>45687</v>
      </c>
      <c r="C46" s="30">
        <f t="shared" si="2"/>
        <v>45687</v>
      </c>
      <c r="D46" s="36">
        <f t="shared" si="4"/>
        <v>5</v>
      </c>
      <c r="E46" s="32">
        <v>1.5</v>
      </c>
      <c r="F46" s="67" t="s">
        <v>15</v>
      </c>
      <c r="G46" s="43" t="s">
        <v>16</v>
      </c>
      <c r="H46" s="43" t="s">
        <v>17</v>
      </c>
      <c r="I46" s="44"/>
      <c r="J46" s="35"/>
    </row>
    <row r="47" spans="1:10" hidden="1" x14ac:dyDescent="0.25">
      <c r="A47" s="28">
        <v>45687</v>
      </c>
      <c r="B47" s="29">
        <v>45687</v>
      </c>
      <c r="C47" s="30">
        <v>45687</v>
      </c>
      <c r="D47" s="36">
        <v>5</v>
      </c>
      <c r="E47" s="32">
        <v>1</v>
      </c>
      <c r="F47" s="67" t="s">
        <v>9</v>
      </c>
      <c r="G47" s="43" t="s">
        <v>50</v>
      </c>
      <c r="H47" s="43" t="s">
        <v>90</v>
      </c>
      <c r="I47" s="44"/>
      <c r="J47" s="35"/>
    </row>
    <row r="48" spans="1:10" x14ac:dyDescent="0.25">
      <c r="A48" s="28">
        <v>45687</v>
      </c>
      <c r="B48" s="29">
        <v>45687</v>
      </c>
      <c r="C48" s="30">
        <v>45687</v>
      </c>
      <c r="D48" s="36">
        <v>5</v>
      </c>
      <c r="E48" s="32">
        <v>6</v>
      </c>
      <c r="F48" s="67" t="s">
        <v>34</v>
      </c>
      <c r="G48" s="43" t="s">
        <v>35</v>
      </c>
      <c r="H48" s="43" t="s">
        <v>85</v>
      </c>
      <c r="I48" s="44"/>
      <c r="J48" s="35"/>
    </row>
    <row r="49" spans="1:12" hidden="1" x14ac:dyDescent="0.25">
      <c r="A49" s="28">
        <f t="shared" si="1"/>
        <v>45688</v>
      </c>
      <c r="B49" s="29">
        <f>+B46+1</f>
        <v>45688</v>
      </c>
      <c r="C49" s="30">
        <f t="shared" si="2"/>
        <v>45688</v>
      </c>
      <c r="D49" s="36">
        <f t="shared" si="4"/>
        <v>5</v>
      </c>
      <c r="E49" s="37">
        <v>3</v>
      </c>
      <c r="F49" s="38" t="s">
        <v>6</v>
      </c>
      <c r="G49" s="39" t="s">
        <v>26</v>
      </c>
      <c r="H49" s="39" t="s">
        <v>40</v>
      </c>
      <c r="I49" s="44"/>
      <c r="J49" s="35"/>
    </row>
    <row r="50" spans="1:12" x14ac:dyDescent="0.25">
      <c r="A50" s="28">
        <v>45688</v>
      </c>
      <c r="B50" s="29">
        <v>45688</v>
      </c>
      <c r="C50" s="30">
        <v>45688</v>
      </c>
      <c r="D50" s="36">
        <v>5</v>
      </c>
      <c r="E50" s="37">
        <v>3</v>
      </c>
      <c r="F50" s="38" t="s">
        <v>34</v>
      </c>
      <c r="G50" s="39" t="s">
        <v>35</v>
      </c>
      <c r="H50" s="39" t="s">
        <v>85</v>
      </c>
      <c r="I50" s="44"/>
      <c r="J50" s="35">
        <f>SUM(E39:E50)</f>
        <v>40</v>
      </c>
    </row>
    <row r="51" spans="1:12" hidden="1" x14ac:dyDescent="0.25">
      <c r="A51" s="28">
        <f t="shared" si="1"/>
        <v>45689</v>
      </c>
      <c r="B51" s="29">
        <f>+B49+1</f>
        <v>45689</v>
      </c>
      <c r="C51" s="30">
        <f t="shared" si="2"/>
        <v>45689</v>
      </c>
      <c r="D51" s="36">
        <f t="shared" si="4"/>
        <v>5</v>
      </c>
      <c r="E51" s="32"/>
      <c r="F51" s="67"/>
      <c r="G51" s="43"/>
      <c r="H51" s="43"/>
      <c r="I51" s="44"/>
      <c r="J51" s="35"/>
    </row>
    <row r="52" spans="1:12" hidden="1" x14ac:dyDescent="0.25">
      <c r="A52" s="28">
        <f t="shared" si="1"/>
        <v>45690</v>
      </c>
      <c r="B52" s="29">
        <f t="shared" si="3"/>
        <v>45690</v>
      </c>
      <c r="C52" s="30">
        <f t="shared" si="2"/>
        <v>45690</v>
      </c>
      <c r="D52" s="36">
        <f t="shared" si="4"/>
        <v>6</v>
      </c>
      <c r="E52" s="32"/>
      <c r="F52" s="67"/>
      <c r="G52" s="43"/>
      <c r="H52" s="43"/>
      <c r="I52" s="44"/>
      <c r="J52" s="35"/>
    </row>
    <row r="53" spans="1:12" x14ac:dyDescent="0.25">
      <c r="A53" s="28">
        <f t="shared" si="1"/>
        <v>45691</v>
      </c>
      <c r="B53" s="29">
        <f t="shared" si="3"/>
        <v>45691</v>
      </c>
      <c r="C53" s="30">
        <f t="shared" si="2"/>
        <v>45691</v>
      </c>
      <c r="D53" s="36">
        <f t="shared" si="4"/>
        <v>6</v>
      </c>
      <c r="E53" s="37">
        <v>8.5</v>
      </c>
      <c r="F53" s="38" t="s">
        <v>34</v>
      </c>
      <c r="G53" s="39" t="s">
        <v>35</v>
      </c>
      <c r="H53" s="39" t="s">
        <v>85</v>
      </c>
      <c r="I53" s="44"/>
      <c r="J53" s="35"/>
    </row>
    <row r="54" spans="1:12" hidden="1" x14ac:dyDescent="0.25">
      <c r="A54" s="28">
        <f t="shared" si="1"/>
        <v>45692</v>
      </c>
      <c r="B54" s="29">
        <f t="shared" si="3"/>
        <v>45692</v>
      </c>
      <c r="C54" s="30">
        <f t="shared" si="2"/>
        <v>45692</v>
      </c>
      <c r="D54" s="36">
        <f t="shared" si="4"/>
        <v>6</v>
      </c>
      <c r="E54" s="32">
        <v>1.5</v>
      </c>
      <c r="F54" s="67" t="s">
        <v>15</v>
      </c>
      <c r="G54" s="43" t="s">
        <v>16</v>
      </c>
      <c r="H54" s="43" t="s">
        <v>17</v>
      </c>
      <c r="I54" s="44"/>
      <c r="J54" s="35"/>
    </row>
    <row r="55" spans="1:12" x14ac:dyDescent="0.25">
      <c r="A55" s="28">
        <v>45692</v>
      </c>
      <c r="B55" s="29">
        <v>45692</v>
      </c>
      <c r="C55" s="30">
        <v>45692</v>
      </c>
      <c r="D55" s="36">
        <v>6</v>
      </c>
      <c r="E55" s="32">
        <v>7</v>
      </c>
      <c r="F55" s="67" t="s">
        <v>34</v>
      </c>
      <c r="G55" s="43" t="s">
        <v>35</v>
      </c>
      <c r="H55" s="43" t="s">
        <v>91</v>
      </c>
      <c r="I55" s="44"/>
      <c r="J55" s="70"/>
      <c r="K55" s="71" t="s">
        <v>92</v>
      </c>
      <c r="L55" t="s">
        <v>93</v>
      </c>
    </row>
    <row r="56" spans="1:12" hidden="1" x14ac:dyDescent="0.25">
      <c r="A56" s="28">
        <f t="shared" si="1"/>
        <v>45693</v>
      </c>
      <c r="B56" s="29">
        <f>+B54+1</f>
        <v>45693</v>
      </c>
      <c r="C56" s="30">
        <f t="shared" si="2"/>
        <v>45693</v>
      </c>
      <c r="D56" s="36">
        <f t="shared" si="4"/>
        <v>6</v>
      </c>
      <c r="E56" s="37">
        <v>4</v>
      </c>
      <c r="F56" s="38" t="s">
        <v>15</v>
      </c>
      <c r="G56" s="39" t="s">
        <v>19</v>
      </c>
      <c r="H56" s="39" t="s">
        <v>94</v>
      </c>
      <c r="I56" s="44"/>
      <c r="J56" s="35"/>
      <c r="L56" t="s">
        <v>95</v>
      </c>
    </row>
    <row r="57" spans="1:12" x14ac:dyDescent="0.25">
      <c r="A57" s="28">
        <v>45693</v>
      </c>
      <c r="B57" s="29">
        <v>45693</v>
      </c>
      <c r="C57" s="30">
        <v>45693</v>
      </c>
      <c r="D57" s="36">
        <v>6</v>
      </c>
      <c r="E57" s="37">
        <v>4.5</v>
      </c>
      <c r="F57" s="38" t="s">
        <v>34</v>
      </c>
      <c r="G57" s="39" t="s">
        <v>35</v>
      </c>
      <c r="H57" s="39" t="s">
        <v>91</v>
      </c>
      <c r="I57" s="44"/>
      <c r="J57" s="35"/>
      <c r="L57" t="s">
        <v>96</v>
      </c>
    </row>
    <row r="58" spans="1:12" hidden="1" x14ac:dyDescent="0.25">
      <c r="A58" s="28">
        <f t="shared" si="1"/>
        <v>45694</v>
      </c>
      <c r="B58" s="29">
        <f>+B56+1</f>
        <v>45694</v>
      </c>
      <c r="C58" s="30">
        <f t="shared" si="2"/>
        <v>45694</v>
      </c>
      <c r="D58" s="36">
        <f t="shared" si="4"/>
        <v>6</v>
      </c>
      <c r="E58" s="32">
        <v>1.5</v>
      </c>
      <c r="F58" s="67" t="s">
        <v>15</v>
      </c>
      <c r="G58" s="43" t="s">
        <v>16</v>
      </c>
      <c r="H58" s="43" t="s">
        <v>17</v>
      </c>
      <c r="I58" s="44"/>
      <c r="J58" s="35"/>
    </row>
    <row r="59" spans="1:12" x14ac:dyDescent="0.25">
      <c r="A59" s="28">
        <v>45694</v>
      </c>
      <c r="B59" s="29">
        <v>45694</v>
      </c>
      <c r="C59" s="30">
        <v>45694</v>
      </c>
      <c r="D59" s="36">
        <v>6</v>
      </c>
      <c r="E59" s="32">
        <v>3</v>
      </c>
      <c r="F59" s="67" t="s">
        <v>34</v>
      </c>
      <c r="G59" s="43" t="s">
        <v>35</v>
      </c>
      <c r="H59" s="43" t="s">
        <v>91</v>
      </c>
      <c r="I59" s="44"/>
      <c r="J59" s="35"/>
    </row>
    <row r="60" spans="1:12" hidden="1" x14ac:dyDescent="0.25">
      <c r="A60" s="28">
        <v>45694</v>
      </c>
      <c r="B60" s="29">
        <v>45694</v>
      </c>
      <c r="C60" s="30">
        <v>45694</v>
      </c>
      <c r="D60" s="36">
        <v>6</v>
      </c>
      <c r="E60" s="32">
        <v>4</v>
      </c>
      <c r="F60" s="67" t="s">
        <v>6</v>
      </c>
      <c r="G60" s="43" t="s">
        <v>26</v>
      </c>
      <c r="H60" s="43" t="s">
        <v>40</v>
      </c>
      <c r="I60" s="44"/>
      <c r="J60" s="35"/>
    </row>
    <row r="61" spans="1:12" x14ac:dyDescent="0.25">
      <c r="A61" s="28">
        <f>B61</f>
        <v>45695</v>
      </c>
      <c r="B61" s="29">
        <f>+B58+1</f>
        <v>45695</v>
      </c>
      <c r="C61" s="30">
        <f>B61</f>
        <v>45695</v>
      </c>
      <c r="D61" s="36">
        <f>WEEKNUM(A61)</f>
        <v>6</v>
      </c>
      <c r="E61" s="37">
        <v>4</v>
      </c>
      <c r="F61" s="38" t="s">
        <v>34</v>
      </c>
      <c r="G61" s="39" t="s">
        <v>35</v>
      </c>
      <c r="H61" s="39" t="s">
        <v>91</v>
      </c>
      <c r="I61" s="44"/>
      <c r="J61" s="35"/>
    </row>
    <row r="62" spans="1:12" hidden="1" x14ac:dyDescent="0.25">
      <c r="A62" s="28">
        <v>45695</v>
      </c>
      <c r="B62" s="29">
        <v>45695</v>
      </c>
      <c r="C62" s="30">
        <v>45695</v>
      </c>
      <c r="D62" s="36">
        <v>6</v>
      </c>
      <c r="E62" s="37">
        <v>2</v>
      </c>
      <c r="F62" s="38" t="s">
        <v>6</v>
      </c>
      <c r="G62" s="39" t="s">
        <v>26</v>
      </c>
      <c r="H62" s="39" t="s">
        <v>40</v>
      </c>
      <c r="I62" s="44"/>
      <c r="J62" s="35">
        <f>SUM(E53:E62)</f>
        <v>40</v>
      </c>
    </row>
    <row r="63" spans="1:12" hidden="1" x14ac:dyDescent="0.25">
      <c r="A63" s="28">
        <f t="shared" si="1"/>
        <v>45696</v>
      </c>
      <c r="B63" s="29">
        <f>+B61+1</f>
        <v>45696</v>
      </c>
      <c r="C63" s="30">
        <f t="shared" si="2"/>
        <v>45696</v>
      </c>
      <c r="D63" s="36">
        <f t="shared" si="4"/>
        <v>6</v>
      </c>
      <c r="E63" s="32"/>
      <c r="F63" s="67"/>
      <c r="G63" s="43"/>
      <c r="H63" s="43"/>
      <c r="I63" s="44"/>
      <c r="J63" s="35"/>
    </row>
    <row r="64" spans="1:12" hidden="1" x14ac:dyDescent="0.25">
      <c r="A64" s="28">
        <f t="shared" si="1"/>
        <v>45697</v>
      </c>
      <c r="B64" s="29">
        <f t="shared" si="3"/>
        <v>45697</v>
      </c>
      <c r="C64" s="30">
        <f t="shared" si="2"/>
        <v>45697</v>
      </c>
      <c r="D64" s="36">
        <f t="shared" si="4"/>
        <v>7</v>
      </c>
      <c r="E64" s="32"/>
      <c r="F64" s="67"/>
      <c r="G64" s="43"/>
      <c r="H64" s="43"/>
      <c r="I64" s="44"/>
      <c r="J64" s="35"/>
    </row>
    <row r="65" spans="1:10" x14ac:dyDescent="0.25">
      <c r="A65" s="28">
        <f t="shared" si="1"/>
        <v>45698</v>
      </c>
      <c r="B65" s="29">
        <f t="shared" si="3"/>
        <v>45698</v>
      </c>
      <c r="C65" s="30">
        <f t="shared" si="2"/>
        <v>45698</v>
      </c>
      <c r="D65" s="36">
        <f t="shared" si="4"/>
        <v>7</v>
      </c>
      <c r="E65" s="37">
        <v>8.5</v>
      </c>
      <c r="F65" s="38" t="s">
        <v>34</v>
      </c>
      <c r="G65" s="39" t="s">
        <v>35</v>
      </c>
      <c r="H65" s="39" t="s">
        <v>91</v>
      </c>
      <c r="I65" s="44"/>
      <c r="J65" s="35"/>
    </row>
    <row r="66" spans="1:10" hidden="1" x14ac:dyDescent="0.25">
      <c r="A66" s="28">
        <f t="shared" si="1"/>
        <v>45699</v>
      </c>
      <c r="B66" s="29">
        <f t="shared" si="3"/>
        <v>45699</v>
      </c>
      <c r="C66" s="30">
        <f t="shared" si="2"/>
        <v>45699</v>
      </c>
      <c r="D66" s="36">
        <f t="shared" si="4"/>
        <v>7</v>
      </c>
      <c r="E66" s="58">
        <v>0</v>
      </c>
      <c r="F66" s="68" t="s">
        <v>15</v>
      </c>
      <c r="G66" s="69" t="s">
        <v>16</v>
      </c>
      <c r="H66" s="69" t="s">
        <v>97</v>
      </c>
      <c r="I66" s="44"/>
      <c r="J66" s="35"/>
    </row>
    <row r="67" spans="1:10" hidden="1" x14ac:dyDescent="0.25">
      <c r="A67" s="28">
        <v>45699</v>
      </c>
      <c r="B67" s="29">
        <v>45699</v>
      </c>
      <c r="C67" s="30">
        <v>45699</v>
      </c>
      <c r="D67" s="36">
        <v>7</v>
      </c>
      <c r="E67" s="32">
        <v>3</v>
      </c>
      <c r="F67" s="67" t="s">
        <v>15</v>
      </c>
      <c r="G67" s="43" t="s">
        <v>19</v>
      </c>
      <c r="H67" s="43" t="s">
        <v>77</v>
      </c>
      <c r="I67" s="44"/>
      <c r="J67" s="35"/>
    </row>
    <row r="68" spans="1:10" x14ac:dyDescent="0.25">
      <c r="A68" s="28">
        <v>45699</v>
      </c>
      <c r="B68" s="29">
        <v>45699</v>
      </c>
      <c r="C68" s="30">
        <v>45699</v>
      </c>
      <c r="D68" s="36">
        <v>7</v>
      </c>
      <c r="E68" s="32">
        <v>5.5</v>
      </c>
      <c r="F68" s="67" t="s">
        <v>34</v>
      </c>
      <c r="G68" s="43" t="s">
        <v>35</v>
      </c>
      <c r="H68" s="43" t="s">
        <v>91</v>
      </c>
      <c r="I68" s="44"/>
      <c r="J68" s="35"/>
    </row>
    <row r="69" spans="1:10" x14ac:dyDescent="0.25">
      <c r="A69" s="28">
        <f t="shared" ref="A69:A177" si="5">B69</f>
        <v>45700</v>
      </c>
      <c r="B69" s="29">
        <f>+B66+1</f>
        <v>45700</v>
      </c>
      <c r="C69" s="30">
        <f t="shared" ref="C69:C177" si="6">B69</f>
        <v>45700</v>
      </c>
      <c r="D69" s="36">
        <f t="shared" si="4"/>
        <v>7</v>
      </c>
      <c r="E69" s="37">
        <v>5</v>
      </c>
      <c r="F69" s="38" t="s">
        <v>34</v>
      </c>
      <c r="G69" s="39" t="s">
        <v>35</v>
      </c>
      <c r="H69" s="39" t="s">
        <v>91</v>
      </c>
      <c r="I69" s="44"/>
      <c r="J69" s="35"/>
    </row>
    <row r="70" spans="1:10" hidden="1" x14ac:dyDescent="0.25">
      <c r="A70" s="28">
        <f t="shared" si="5"/>
        <v>45700</v>
      </c>
      <c r="B70" s="29">
        <f>+B67+1</f>
        <v>45700</v>
      </c>
      <c r="C70" s="30">
        <f t="shared" si="6"/>
        <v>45700</v>
      </c>
      <c r="D70" s="36">
        <f t="shared" si="4"/>
        <v>7</v>
      </c>
      <c r="E70" s="37">
        <v>3.5</v>
      </c>
      <c r="F70" s="38" t="s">
        <v>15</v>
      </c>
      <c r="G70" s="39" t="s">
        <v>16</v>
      </c>
      <c r="H70" s="39" t="s">
        <v>98</v>
      </c>
      <c r="I70" s="44"/>
      <c r="J70" s="35"/>
    </row>
    <row r="71" spans="1:10" x14ac:dyDescent="0.25">
      <c r="A71" s="28">
        <f t="shared" si="5"/>
        <v>45701</v>
      </c>
      <c r="B71" s="29">
        <f>+B69+1</f>
        <v>45701</v>
      </c>
      <c r="C71" s="30">
        <f t="shared" si="6"/>
        <v>45701</v>
      </c>
      <c r="D71" s="36">
        <f t="shared" si="4"/>
        <v>7</v>
      </c>
      <c r="E71" s="32">
        <v>2</v>
      </c>
      <c r="F71" s="67" t="s">
        <v>34</v>
      </c>
      <c r="G71" s="43" t="s">
        <v>35</v>
      </c>
      <c r="H71" s="43" t="s">
        <v>91</v>
      </c>
      <c r="I71" s="44"/>
      <c r="J71" s="35"/>
    </row>
    <row r="72" spans="1:10" hidden="1" x14ac:dyDescent="0.25">
      <c r="A72" s="28">
        <v>45701</v>
      </c>
      <c r="B72" s="29">
        <v>45701</v>
      </c>
      <c r="C72" s="30">
        <v>45701</v>
      </c>
      <c r="D72" s="36">
        <v>7</v>
      </c>
      <c r="E72" s="32">
        <v>5.5</v>
      </c>
      <c r="F72" s="67" t="s">
        <v>15</v>
      </c>
      <c r="G72" s="43" t="s">
        <v>16</v>
      </c>
      <c r="H72" s="43" t="s">
        <v>99</v>
      </c>
      <c r="I72" s="44"/>
      <c r="J72" s="35"/>
    </row>
    <row r="73" spans="1:10" hidden="1" x14ac:dyDescent="0.25">
      <c r="A73" s="28">
        <v>45701</v>
      </c>
      <c r="B73" s="29">
        <v>45701</v>
      </c>
      <c r="C73" s="30">
        <v>45701</v>
      </c>
      <c r="D73" s="36">
        <v>7</v>
      </c>
      <c r="E73" s="32">
        <v>1</v>
      </c>
      <c r="F73" s="67" t="s">
        <v>15</v>
      </c>
      <c r="G73" s="43" t="s">
        <v>19</v>
      </c>
      <c r="H73" s="43" t="s">
        <v>100</v>
      </c>
      <c r="I73" s="44"/>
      <c r="J73" s="35"/>
    </row>
    <row r="74" spans="1:10" x14ac:dyDescent="0.25">
      <c r="A74" s="28">
        <f t="shared" si="5"/>
        <v>45702</v>
      </c>
      <c r="B74" s="29">
        <f>+B71+1</f>
        <v>45702</v>
      </c>
      <c r="C74" s="30">
        <f t="shared" si="6"/>
        <v>45702</v>
      </c>
      <c r="D74" s="36">
        <f t="shared" si="4"/>
        <v>7</v>
      </c>
      <c r="E74" s="32">
        <v>1</v>
      </c>
      <c r="F74" s="67" t="s">
        <v>34</v>
      </c>
      <c r="G74" s="43" t="s">
        <v>35</v>
      </c>
      <c r="H74" s="43" t="s">
        <v>91</v>
      </c>
      <c r="I74" s="44"/>
      <c r="J74" s="35"/>
    </row>
    <row r="75" spans="1:10" hidden="1" x14ac:dyDescent="0.25">
      <c r="A75" s="28">
        <v>45702</v>
      </c>
      <c r="B75" s="29">
        <v>45702</v>
      </c>
      <c r="C75" s="30">
        <v>45702</v>
      </c>
      <c r="D75" s="36">
        <v>7</v>
      </c>
      <c r="E75" s="32">
        <v>5</v>
      </c>
      <c r="F75" s="67" t="s">
        <v>15</v>
      </c>
      <c r="G75" s="43" t="s">
        <v>16</v>
      </c>
      <c r="H75" s="43" t="s">
        <v>99</v>
      </c>
      <c r="I75" s="44"/>
      <c r="J75" s="35">
        <f>SUM(E65:E75)</f>
        <v>40</v>
      </c>
    </row>
    <row r="76" spans="1:10" hidden="1" x14ac:dyDescent="0.25">
      <c r="A76" s="28">
        <f t="shared" si="5"/>
        <v>45703</v>
      </c>
      <c r="B76" s="29">
        <f>+B74+1</f>
        <v>45703</v>
      </c>
      <c r="C76" s="30">
        <f t="shared" si="6"/>
        <v>45703</v>
      </c>
      <c r="D76" s="36">
        <f t="shared" si="4"/>
        <v>7</v>
      </c>
      <c r="E76" s="32"/>
      <c r="F76" s="67"/>
      <c r="G76" s="43"/>
      <c r="H76" s="43"/>
      <c r="I76" s="44"/>
      <c r="J76" s="35"/>
    </row>
    <row r="77" spans="1:10" hidden="1" x14ac:dyDescent="0.25">
      <c r="A77" s="28">
        <f t="shared" si="5"/>
        <v>45704</v>
      </c>
      <c r="B77" s="29">
        <f t="shared" ref="B77:B102" si="7">+B76+1</f>
        <v>45704</v>
      </c>
      <c r="C77" s="30">
        <f t="shared" si="6"/>
        <v>45704</v>
      </c>
      <c r="D77" s="36">
        <f t="shared" si="4"/>
        <v>8</v>
      </c>
      <c r="E77" s="32"/>
      <c r="F77" s="67"/>
      <c r="G77" s="43"/>
      <c r="H77" s="43"/>
      <c r="I77" s="44"/>
      <c r="J77" s="35"/>
    </row>
    <row r="78" spans="1:10" x14ac:dyDescent="0.25">
      <c r="A78" s="28">
        <f t="shared" si="5"/>
        <v>45705</v>
      </c>
      <c r="B78" s="29">
        <f t="shared" si="7"/>
        <v>45705</v>
      </c>
      <c r="C78" s="30">
        <f t="shared" si="6"/>
        <v>45705</v>
      </c>
      <c r="D78" s="36">
        <f t="shared" si="4"/>
        <v>8</v>
      </c>
      <c r="E78" s="37">
        <v>4</v>
      </c>
      <c r="F78" s="38" t="s">
        <v>34</v>
      </c>
      <c r="G78" s="39" t="s">
        <v>35</v>
      </c>
      <c r="H78" s="39" t="s">
        <v>91</v>
      </c>
      <c r="I78" s="44"/>
      <c r="J78" s="35"/>
    </row>
    <row r="79" spans="1:10" hidden="1" x14ac:dyDescent="0.25">
      <c r="A79" s="28">
        <v>45705</v>
      </c>
      <c r="B79" s="29">
        <v>45705</v>
      </c>
      <c r="C79" s="30">
        <v>45705</v>
      </c>
      <c r="D79" s="36">
        <v>8</v>
      </c>
      <c r="E79" s="37">
        <v>4.5</v>
      </c>
      <c r="F79" s="38" t="s">
        <v>15</v>
      </c>
      <c r="G79" s="39" t="s">
        <v>16</v>
      </c>
      <c r="H79" s="39" t="s">
        <v>99</v>
      </c>
      <c r="I79" s="44"/>
      <c r="J79" s="35"/>
    </row>
    <row r="80" spans="1:10" x14ac:dyDescent="0.25">
      <c r="A80" s="28">
        <f t="shared" si="5"/>
        <v>45706</v>
      </c>
      <c r="B80" s="29">
        <f>+B78+1</f>
        <v>45706</v>
      </c>
      <c r="C80" s="30">
        <f t="shared" si="6"/>
        <v>45706</v>
      </c>
      <c r="D80" s="36">
        <f t="shared" si="4"/>
        <v>8</v>
      </c>
      <c r="E80" s="32">
        <v>8.5</v>
      </c>
      <c r="F80" s="67" t="s">
        <v>34</v>
      </c>
      <c r="G80" s="43" t="s">
        <v>35</v>
      </c>
      <c r="H80" s="43" t="s">
        <v>91</v>
      </c>
      <c r="I80" s="44"/>
      <c r="J80" s="35"/>
    </row>
    <row r="81" spans="1:10" x14ac:dyDescent="0.25">
      <c r="A81" s="28">
        <f t="shared" si="5"/>
        <v>45707</v>
      </c>
      <c r="B81" s="29">
        <f>+B80+1</f>
        <v>45707</v>
      </c>
      <c r="C81" s="30">
        <f t="shared" si="6"/>
        <v>45707</v>
      </c>
      <c r="D81" s="36">
        <f t="shared" si="4"/>
        <v>8</v>
      </c>
      <c r="E81" s="37">
        <v>5.5</v>
      </c>
      <c r="F81" s="38" t="s">
        <v>34</v>
      </c>
      <c r="G81" s="39" t="s">
        <v>35</v>
      </c>
      <c r="H81" s="39" t="s">
        <v>91</v>
      </c>
      <c r="I81" s="44"/>
      <c r="J81" s="35"/>
    </row>
    <row r="82" spans="1:10" hidden="1" x14ac:dyDescent="0.25">
      <c r="A82" s="28">
        <v>45707</v>
      </c>
      <c r="B82" s="29">
        <v>45707</v>
      </c>
      <c r="C82" s="30">
        <v>45707</v>
      </c>
      <c r="D82" s="36">
        <v>8</v>
      </c>
      <c r="E82" s="37">
        <v>2</v>
      </c>
      <c r="F82" s="38" t="s">
        <v>15</v>
      </c>
      <c r="G82" s="39" t="s">
        <v>19</v>
      </c>
      <c r="H82" s="39" t="s">
        <v>101</v>
      </c>
      <c r="I82" s="44"/>
      <c r="J82" s="35"/>
    </row>
    <row r="83" spans="1:10" hidden="1" x14ac:dyDescent="0.25">
      <c r="A83" s="28">
        <v>45707</v>
      </c>
      <c r="B83" s="29">
        <v>45707</v>
      </c>
      <c r="C83" s="30">
        <v>45707</v>
      </c>
      <c r="D83" s="36">
        <v>8</v>
      </c>
      <c r="E83" s="37">
        <v>1</v>
      </c>
      <c r="F83" s="38" t="s">
        <v>15</v>
      </c>
      <c r="G83" s="39" t="s">
        <v>19</v>
      </c>
      <c r="H83" s="39" t="s">
        <v>20</v>
      </c>
      <c r="I83" s="44"/>
      <c r="J83" s="35"/>
    </row>
    <row r="84" spans="1:10" x14ac:dyDescent="0.25">
      <c r="A84" s="28">
        <f>B84</f>
        <v>45708</v>
      </c>
      <c r="B84" s="29">
        <f>+B81+1</f>
        <v>45708</v>
      </c>
      <c r="C84" s="30">
        <f>B84</f>
        <v>45708</v>
      </c>
      <c r="D84" s="36">
        <f>WEEKNUM(A84)</f>
        <v>8</v>
      </c>
      <c r="E84" s="32">
        <v>3</v>
      </c>
      <c r="F84" s="67" t="s">
        <v>34</v>
      </c>
      <c r="G84" s="43" t="s">
        <v>35</v>
      </c>
      <c r="H84" s="43" t="s">
        <v>91</v>
      </c>
      <c r="I84" s="44"/>
      <c r="J84" s="35"/>
    </row>
    <row r="85" spans="1:10" x14ac:dyDescent="0.25">
      <c r="A85" s="28">
        <v>45708</v>
      </c>
      <c r="B85" s="29">
        <v>45708</v>
      </c>
      <c r="C85" s="30">
        <v>45708</v>
      </c>
      <c r="D85" s="36">
        <v>8</v>
      </c>
      <c r="E85" s="32">
        <v>4.5</v>
      </c>
      <c r="F85" s="67" t="s">
        <v>34</v>
      </c>
      <c r="G85" s="43" t="s">
        <v>35</v>
      </c>
      <c r="H85" s="43" t="s">
        <v>85</v>
      </c>
      <c r="I85" s="44"/>
      <c r="J85" s="35"/>
    </row>
    <row r="86" spans="1:10" hidden="1" x14ac:dyDescent="0.25">
      <c r="A86" s="28">
        <f t="shared" ref="A86" si="8">B86</f>
        <v>45708</v>
      </c>
      <c r="B86" s="29">
        <f>+B82+1</f>
        <v>45708</v>
      </c>
      <c r="C86" s="30">
        <f t="shared" ref="C86" si="9">B86</f>
        <v>45708</v>
      </c>
      <c r="D86" s="36">
        <f t="shared" ref="D86" si="10">WEEKNUM(A86)</f>
        <v>8</v>
      </c>
      <c r="E86" s="32">
        <v>1</v>
      </c>
      <c r="F86" s="67" t="s">
        <v>58</v>
      </c>
      <c r="G86" s="43" t="s">
        <v>19</v>
      </c>
      <c r="H86" s="43" t="s">
        <v>102</v>
      </c>
      <c r="I86" s="44"/>
      <c r="J86" s="35"/>
    </row>
    <row r="87" spans="1:10" x14ac:dyDescent="0.25">
      <c r="A87" s="28">
        <f t="shared" si="5"/>
        <v>45709</v>
      </c>
      <c r="B87" s="29">
        <f>+B84+1</f>
        <v>45709</v>
      </c>
      <c r="C87" s="30">
        <f t="shared" si="6"/>
        <v>45709</v>
      </c>
      <c r="D87" s="36">
        <f t="shared" si="4"/>
        <v>8</v>
      </c>
      <c r="E87" s="37">
        <v>4</v>
      </c>
      <c r="F87" s="38" t="s">
        <v>34</v>
      </c>
      <c r="G87" s="39" t="s">
        <v>35</v>
      </c>
      <c r="H87" s="39" t="s">
        <v>85</v>
      </c>
      <c r="I87" s="44"/>
      <c r="J87" s="35"/>
    </row>
    <row r="88" spans="1:10" hidden="1" x14ac:dyDescent="0.25">
      <c r="A88" s="28">
        <v>45709</v>
      </c>
      <c r="B88" s="29">
        <v>45709</v>
      </c>
      <c r="C88" s="30">
        <v>45709</v>
      </c>
      <c r="D88" s="36">
        <v>8</v>
      </c>
      <c r="E88" s="37">
        <v>0</v>
      </c>
      <c r="F88" s="38" t="s">
        <v>15</v>
      </c>
      <c r="G88" s="39" t="s">
        <v>19</v>
      </c>
      <c r="H88" s="39" t="s">
        <v>20</v>
      </c>
      <c r="I88" s="44"/>
      <c r="J88" s="35"/>
    </row>
    <row r="89" spans="1:10" hidden="1" x14ac:dyDescent="0.25">
      <c r="A89" s="28">
        <v>45709</v>
      </c>
      <c r="B89" s="29">
        <v>45709</v>
      </c>
      <c r="C89" s="30">
        <v>45709</v>
      </c>
      <c r="D89" s="36">
        <v>8</v>
      </c>
      <c r="E89" s="37">
        <v>2</v>
      </c>
      <c r="F89" s="38" t="s">
        <v>58</v>
      </c>
      <c r="G89" s="39" t="s">
        <v>19</v>
      </c>
      <c r="H89" s="39" t="s">
        <v>102</v>
      </c>
      <c r="I89" s="44"/>
      <c r="J89" s="35">
        <f>SUM(E78:E89)</f>
        <v>40</v>
      </c>
    </row>
    <row r="90" spans="1:10" hidden="1" x14ac:dyDescent="0.25">
      <c r="A90" s="28">
        <f t="shared" si="5"/>
        <v>45710</v>
      </c>
      <c r="B90" s="29">
        <f>+B87+1</f>
        <v>45710</v>
      </c>
      <c r="C90" s="30">
        <f t="shared" si="6"/>
        <v>45710</v>
      </c>
      <c r="D90" s="36">
        <f t="shared" si="4"/>
        <v>8</v>
      </c>
      <c r="E90" s="32"/>
      <c r="F90" s="67"/>
      <c r="G90" s="43"/>
      <c r="H90" s="43"/>
      <c r="I90" s="44"/>
      <c r="J90" s="35"/>
    </row>
    <row r="91" spans="1:10" hidden="1" x14ac:dyDescent="0.25">
      <c r="A91" s="28">
        <f t="shared" si="5"/>
        <v>45711</v>
      </c>
      <c r="B91" s="29">
        <f t="shared" si="7"/>
        <v>45711</v>
      </c>
      <c r="C91" s="30">
        <f t="shared" si="6"/>
        <v>45711</v>
      </c>
      <c r="D91" s="36">
        <f t="shared" si="4"/>
        <v>9</v>
      </c>
      <c r="E91" s="32"/>
      <c r="F91" s="67"/>
      <c r="G91" s="43"/>
      <c r="H91" s="43"/>
      <c r="I91" s="44"/>
      <c r="J91" s="35"/>
    </row>
    <row r="92" spans="1:10" x14ac:dyDescent="0.25">
      <c r="A92" s="28">
        <f t="shared" si="5"/>
        <v>45712</v>
      </c>
      <c r="B92" s="29">
        <f t="shared" si="7"/>
        <v>45712</v>
      </c>
      <c r="C92" s="30">
        <f t="shared" si="6"/>
        <v>45712</v>
      </c>
      <c r="D92" s="36">
        <f t="shared" si="4"/>
        <v>9</v>
      </c>
      <c r="E92" s="37">
        <v>8.5</v>
      </c>
      <c r="F92" s="38" t="s">
        <v>34</v>
      </c>
      <c r="G92" s="39" t="s">
        <v>35</v>
      </c>
      <c r="H92" s="39" t="s">
        <v>91</v>
      </c>
      <c r="I92" s="44"/>
      <c r="J92" s="35"/>
    </row>
    <row r="93" spans="1:10" x14ac:dyDescent="0.25">
      <c r="A93" s="28">
        <f t="shared" si="5"/>
        <v>45713</v>
      </c>
      <c r="B93" s="29">
        <f t="shared" si="7"/>
        <v>45713</v>
      </c>
      <c r="C93" s="30">
        <f t="shared" si="6"/>
        <v>45713</v>
      </c>
      <c r="D93" s="36">
        <f t="shared" si="4"/>
        <v>9</v>
      </c>
      <c r="E93" s="32">
        <v>4</v>
      </c>
      <c r="F93" s="67" t="s">
        <v>34</v>
      </c>
      <c r="G93" s="43" t="s">
        <v>35</v>
      </c>
      <c r="H93" s="43" t="s">
        <v>91</v>
      </c>
      <c r="I93" s="44"/>
      <c r="J93" s="35"/>
    </row>
    <row r="94" spans="1:10" hidden="1" x14ac:dyDescent="0.25">
      <c r="A94" s="28">
        <v>45713</v>
      </c>
      <c r="B94" s="29">
        <v>45713</v>
      </c>
      <c r="C94" s="30">
        <v>45713</v>
      </c>
      <c r="D94" s="36">
        <v>9</v>
      </c>
      <c r="E94" s="32">
        <v>4.5</v>
      </c>
      <c r="F94" s="67" t="s">
        <v>58</v>
      </c>
      <c r="G94" s="43" t="s">
        <v>19</v>
      </c>
      <c r="H94" s="43" t="s">
        <v>102</v>
      </c>
      <c r="I94" s="44"/>
      <c r="J94" s="35"/>
    </row>
    <row r="95" spans="1:10" x14ac:dyDescent="0.25">
      <c r="A95" s="28">
        <f t="shared" si="5"/>
        <v>45714</v>
      </c>
      <c r="B95" s="29">
        <f>+B93+1</f>
        <v>45714</v>
      </c>
      <c r="C95" s="30">
        <f t="shared" si="6"/>
        <v>45714</v>
      </c>
      <c r="D95" s="36">
        <f t="shared" si="4"/>
        <v>9</v>
      </c>
      <c r="E95" s="37">
        <v>8.5</v>
      </c>
      <c r="F95" s="38" t="s">
        <v>34</v>
      </c>
      <c r="G95" s="39" t="s">
        <v>35</v>
      </c>
      <c r="H95" s="39" t="s">
        <v>91</v>
      </c>
      <c r="I95" s="44"/>
      <c r="J95" s="35"/>
    </row>
    <row r="96" spans="1:10" x14ac:dyDescent="0.25">
      <c r="A96" s="28">
        <f t="shared" si="5"/>
        <v>45715</v>
      </c>
      <c r="B96" s="29">
        <f t="shared" si="7"/>
        <v>45715</v>
      </c>
      <c r="C96" s="30">
        <f t="shared" si="6"/>
        <v>45715</v>
      </c>
      <c r="D96" s="36">
        <f t="shared" si="4"/>
        <v>9</v>
      </c>
      <c r="E96" s="32">
        <v>8.5</v>
      </c>
      <c r="F96" s="67" t="s">
        <v>34</v>
      </c>
      <c r="G96" s="43" t="s">
        <v>35</v>
      </c>
      <c r="H96" s="43" t="s">
        <v>91</v>
      </c>
      <c r="I96" s="44"/>
      <c r="J96" s="35"/>
    </row>
    <row r="97" spans="1:10" hidden="1" x14ac:dyDescent="0.25">
      <c r="A97" s="28">
        <v>45715</v>
      </c>
      <c r="B97" s="29">
        <v>45715</v>
      </c>
      <c r="C97" s="30">
        <v>45715</v>
      </c>
      <c r="D97" s="36">
        <v>9</v>
      </c>
      <c r="E97" s="58">
        <v>0</v>
      </c>
      <c r="F97" s="68" t="s">
        <v>15</v>
      </c>
      <c r="G97" s="69" t="s">
        <v>16</v>
      </c>
      <c r="H97" s="69" t="s">
        <v>17</v>
      </c>
      <c r="I97" s="44"/>
      <c r="J97" s="35"/>
    </row>
    <row r="98" spans="1:10" hidden="1" x14ac:dyDescent="0.25">
      <c r="A98" s="28">
        <f t="shared" si="5"/>
        <v>45716</v>
      </c>
      <c r="B98" s="29">
        <f>+B96+1</f>
        <v>45716</v>
      </c>
      <c r="C98" s="30">
        <f t="shared" si="6"/>
        <v>45716</v>
      </c>
      <c r="D98" s="36">
        <f t="shared" si="4"/>
        <v>9</v>
      </c>
      <c r="E98" s="37">
        <v>3</v>
      </c>
      <c r="F98" s="38" t="s">
        <v>58</v>
      </c>
      <c r="G98" s="39" t="s">
        <v>19</v>
      </c>
      <c r="H98" s="39" t="s">
        <v>102</v>
      </c>
      <c r="I98" s="44"/>
      <c r="J98" s="35"/>
    </row>
    <row r="99" spans="1:10" x14ac:dyDescent="0.25">
      <c r="A99" s="28">
        <v>45716</v>
      </c>
      <c r="B99" s="29">
        <v>45716</v>
      </c>
      <c r="C99" s="30">
        <v>45716</v>
      </c>
      <c r="D99" s="36">
        <v>9</v>
      </c>
      <c r="E99" s="37">
        <v>3</v>
      </c>
      <c r="F99" s="38" t="s">
        <v>34</v>
      </c>
      <c r="G99" s="39" t="s">
        <v>35</v>
      </c>
      <c r="H99" s="39" t="s">
        <v>91</v>
      </c>
      <c r="I99" s="44"/>
      <c r="J99" s="35">
        <f>SUM(E92:E99)</f>
        <v>40</v>
      </c>
    </row>
    <row r="100" spans="1:10" hidden="1" x14ac:dyDescent="0.25">
      <c r="A100" s="28">
        <f t="shared" si="5"/>
        <v>45717</v>
      </c>
      <c r="B100" s="29">
        <f>+B98+1</f>
        <v>45717</v>
      </c>
      <c r="C100" s="30">
        <f t="shared" si="6"/>
        <v>45717</v>
      </c>
      <c r="D100" s="36">
        <f t="shared" si="4"/>
        <v>9</v>
      </c>
      <c r="E100" s="32"/>
      <c r="F100" s="33"/>
      <c r="G100" s="43"/>
      <c r="H100" s="43"/>
      <c r="I100" s="44"/>
      <c r="J100" s="35"/>
    </row>
    <row r="101" spans="1:10" hidden="1" x14ac:dyDescent="0.25">
      <c r="A101" s="28">
        <f t="shared" si="5"/>
        <v>45718</v>
      </c>
      <c r="B101" s="29">
        <f t="shared" si="7"/>
        <v>45718</v>
      </c>
      <c r="C101" s="30">
        <f t="shared" si="6"/>
        <v>45718</v>
      </c>
      <c r="D101" s="36">
        <f t="shared" si="4"/>
        <v>10</v>
      </c>
      <c r="E101" s="32"/>
      <c r="F101" s="33"/>
      <c r="G101" s="43"/>
      <c r="H101" s="43"/>
      <c r="I101" s="44"/>
      <c r="J101" s="35"/>
    </row>
    <row r="102" spans="1:10" hidden="1" x14ac:dyDescent="0.25">
      <c r="A102" s="28">
        <f t="shared" si="5"/>
        <v>45719</v>
      </c>
      <c r="B102" s="29">
        <f t="shared" si="7"/>
        <v>45719</v>
      </c>
      <c r="C102" s="30">
        <f t="shared" si="6"/>
        <v>45719</v>
      </c>
      <c r="D102" s="36">
        <f t="shared" si="4"/>
        <v>10</v>
      </c>
      <c r="E102" s="37">
        <v>2</v>
      </c>
      <c r="F102" s="38" t="s">
        <v>103</v>
      </c>
      <c r="G102" s="39" t="s">
        <v>54</v>
      </c>
      <c r="H102" s="39" t="s">
        <v>104</v>
      </c>
      <c r="I102" s="44"/>
      <c r="J102" s="35"/>
    </row>
    <row r="103" spans="1:10" x14ac:dyDescent="0.25">
      <c r="A103" s="28">
        <v>45719</v>
      </c>
      <c r="B103" s="29">
        <v>45719</v>
      </c>
      <c r="C103" s="30">
        <v>45719</v>
      </c>
      <c r="D103" s="36">
        <v>10</v>
      </c>
      <c r="E103" s="37">
        <v>6.5</v>
      </c>
      <c r="F103" s="38" t="s">
        <v>34</v>
      </c>
      <c r="G103" s="39" t="s">
        <v>35</v>
      </c>
      <c r="H103" s="39" t="s">
        <v>91</v>
      </c>
      <c r="I103" s="44"/>
      <c r="J103" s="35"/>
    </row>
    <row r="104" spans="1:10" hidden="1" x14ac:dyDescent="0.25">
      <c r="A104" s="28">
        <f t="shared" si="5"/>
        <v>45720</v>
      </c>
      <c r="B104" s="29">
        <f>+B102+1</f>
        <v>45720</v>
      </c>
      <c r="C104" s="30">
        <f t="shared" si="6"/>
        <v>45720</v>
      </c>
      <c r="D104" s="36">
        <f t="shared" si="4"/>
        <v>10</v>
      </c>
      <c r="E104" s="32">
        <v>1.5</v>
      </c>
      <c r="F104" s="67" t="s">
        <v>15</v>
      </c>
      <c r="G104" s="43" t="s">
        <v>16</v>
      </c>
      <c r="H104" s="43" t="s">
        <v>17</v>
      </c>
      <c r="I104" s="44"/>
      <c r="J104" s="35"/>
    </row>
    <row r="105" spans="1:10" hidden="1" x14ac:dyDescent="0.25">
      <c r="A105" s="28">
        <v>45720</v>
      </c>
      <c r="B105" s="29">
        <v>45720</v>
      </c>
      <c r="C105" s="30">
        <v>45720</v>
      </c>
      <c r="D105" s="36">
        <v>10</v>
      </c>
      <c r="E105" s="32">
        <v>6</v>
      </c>
      <c r="F105" s="67" t="s">
        <v>105</v>
      </c>
      <c r="G105" s="43" t="s">
        <v>50</v>
      </c>
      <c r="H105" s="43" t="s">
        <v>106</v>
      </c>
      <c r="I105" s="44"/>
      <c r="J105" s="35"/>
    </row>
    <row r="106" spans="1:10" hidden="1" x14ac:dyDescent="0.25">
      <c r="A106" s="28">
        <v>45720</v>
      </c>
      <c r="B106" s="29">
        <v>45720</v>
      </c>
      <c r="C106" s="30">
        <v>45720</v>
      </c>
      <c r="D106" s="36">
        <v>10</v>
      </c>
      <c r="E106" s="32">
        <v>1</v>
      </c>
      <c r="F106" s="67" t="s">
        <v>58</v>
      </c>
      <c r="G106" s="43" t="s">
        <v>19</v>
      </c>
      <c r="H106" s="43" t="s">
        <v>107</v>
      </c>
      <c r="I106" s="44"/>
      <c r="J106" s="35"/>
    </row>
    <row r="107" spans="1:10" hidden="1" x14ac:dyDescent="0.25">
      <c r="A107" s="28">
        <f t="shared" si="5"/>
        <v>45721</v>
      </c>
      <c r="B107" s="29">
        <f>+B104+1</f>
        <v>45721</v>
      </c>
      <c r="C107" s="30">
        <f t="shared" si="6"/>
        <v>45721</v>
      </c>
      <c r="D107" s="36">
        <f t="shared" si="4"/>
        <v>10</v>
      </c>
      <c r="E107" s="37">
        <v>1.5</v>
      </c>
      <c r="F107" s="38" t="s">
        <v>15</v>
      </c>
      <c r="G107" s="39" t="s">
        <v>16</v>
      </c>
      <c r="H107" s="39" t="s">
        <v>17</v>
      </c>
      <c r="I107" s="44"/>
      <c r="J107" s="35"/>
    </row>
    <row r="108" spans="1:10" hidden="1" x14ac:dyDescent="0.25">
      <c r="A108" s="28">
        <v>45721</v>
      </c>
      <c r="B108" s="29">
        <v>45721</v>
      </c>
      <c r="C108" s="30">
        <v>45721</v>
      </c>
      <c r="D108" s="36">
        <v>10</v>
      </c>
      <c r="E108" s="37">
        <v>3</v>
      </c>
      <c r="F108" s="38" t="s">
        <v>15</v>
      </c>
      <c r="G108" s="39" t="s">
        <v>19</v>
      </c>
      <c r="H108" s="39" t="s">
        <v>108</v>
      </c>
      <c r="I108" s="44"/>
      <c r="J108" s="35"/>
    </row>
    <row r="109" spans="1:10" hidden="1" x14ac:dyDescent="0.25">
      <c r="A109" s="28">
        <v>45721</v>
      </c>
      <c r="B109" s="29">
        <v>45721</v>
      </c>
      <c r="C109" s="30">
        <v>45721</v>
      </c>
      <c r="D109" s="36">
        <v>10</v>
      </c>
      <c r="E109" s="37">
        <v>1</v>
      </c>
      <c r="F109" s="38" t="s">
        <v>15</v>
      </c>
      <c r="G109" s="39" t="s">
        <v>19</v>
      </c>
      <c r="H109" s="39" t="s">
        <v>109</v>
      </c>
      <c r="I109" s="44"/>
      <c r="J109" s="35"/>
    </row>
    <row r="110" spans="1:10" hidden="1" x14ac:dyDescent="0.25">
      <c r="A110" s="28">
        <v>45721</v>
      </c>
      <c r="B110" s="29">
        <v>45721</v>
      </c>
      <c r="C110" s="30">
        <v>45721</v>
      </c>
      <c r="D110" s="36">
        <v>10</v>
      </c>
      <c r="E110" s="37">
        <v>3</v>
      </c>
      <c r="F110" s="38" t="s">
        <v>58</v>
      </c>
      <c r="G110" s="39" t="s">
        <v>19</v>
      </c>
      <c r="H110" s="39" t="s">
        <v>107</v>
      </c>
      <c r="I110" s="44"/>
      <c r="J110" s="35"/>
    </row>
    <row r="111" spans="1:10" hidden="1" x14ac:dyDescent="0.25">
      <c r="A111" s="28">
        <f t="shared" si="5"/>
        <v>45722</v>
      </c>
      <c r="B111" s="29">
        <f>+B107+1</f>
        <v>45722</v>
      </c>
      <c r="C111" s="30">
        <f t="shared" si="6"/>
        <v>45722</v>
      </c>
      <c r="D111" s="36">
        <f t="shared" si="4"/>
        <v>10</v>
      </c>
      <c r="E111" s="32">
        <v>1.5</v>
      </c>
      <c r="F111" s="67" t="s">
        <v>15</v>
      </c>
      <c r="G111" s="43" t="s">
        <v>16</v>
      </c>
      <c r="H111" s="43" t="s">
        <v>17</v>
      </c>
      <c r="I111" s="44"/>
      <c r="J111" s="35"/>
    </row>
    <row r="112" spans="1:10" hidden="1" x14ac:dyDescent="0.25">
      <c r="A112" s="28">
        <v>45722</v>
      </c>
      <c r="B112" s="29">
        <v>45722</v>
      </c>
      <c r="C112" s="30">
        <v>45722</v>
      </c>
      <c r="D112" s="36">
        <v>10</v>
      </c>
      <c r="E112" s="32">
        <v>2</v>
      </c>
      <c r="F112" s="67" t="s">
        <v>105</v>
      </c>
      <c r="G112" s="43" t="s">
        <v>50</v>
      </c>
      <c r="H112" s="43" t="s">
        <v>106</v>
      </c>
      <c r="I112" s="44"/>
      <c r="J112" s="35"/>
    </row>
    <row r="113" spans="1:10" hidden="1" x14ac:dyDescent="0.25">
      <c r="A113" s="28">
        <v>45722</v>
      </c>
      <c r="B113" s="29">
        <v>45722</v>
      </c>
      <c r="C113" s="30">
        <v>45722</v>
      </c>
      <c r="D113" s="36">
        <v>10</v>
      </c>
      <c r="E113" s="32">
        <v>5</v>
      </c>
      <c r="F113" s="67" t="s">
        <v>58</v>
      </c>
      <c r="G113" s="43" t="s">
        <v>19</v>
      </c>
      <c r="H113" s="43" t="s">
        <v>107</v>
      </c>
      <c r="I113" s="44"/>
      <c r="J113" s="35"/>
    </row>
    <row r="114" spans="1:10" hidden="1" x14ac:dyDescent="0.25">
      <c r="A114" s="28">
        <f t="shared" si="5"/>
        <v>45723</v>
      </c>
      <c r="B114" s="29">
        <f>+B111+1</f>
        <v>45723</v>
      </c>
      <c r="C114" s="30">
        <f t="shared" si="6"/>
        <v>45723</v>
      </c>
      <c r="D114" s="36">
        <f t="shared" si="4"/>
        <v>10</v>
      </c>
      <c r="E114" s="37">
        <v>3</v>
      </c>
      <c r="F114" s="38" t="s">
        <v>15</v>
      </c>
      <c r="G114" s="39" t="s">
        <v>78</v>
      </c>
      <c r="H114" s="39" t="s">
        <v>79</v>
      </c>
      <c r="I114" s="44"/>
      <c r="J114" s="35"/>
    </row>
    <row r="115" spans="1:10" hidden="1" x14ac:dyDescent="0.25">
      <c r="A115" s="28">
        <v>45723</v>
      </c>
      <c r="B115" s="29">
        <v>45723</v>
      </c>
      <c r="C115" s="30">
        <v>45723</v>
      </c>
      <c r="D115" s="36">
        <v>10</v>
      </c>
      <c r="E115" s="37">
        <v>3</v>
      </c>
      <c r="F115" s="38" t="s">
        <v>103</v>
      </c>
      <c r="G115" s="39" t="s">
        <v>54</v>
      </c>
      <c r="H115" s="39" t="s">
        <v>104</v>
      </c>
      <c r="I115" s="44"/>
      <c r="J115" s="35">
        <f>SUM(E102:E115)</f>
        <v>40</v>
      </c>
    </row>
    <row r="116" spans="1:10" hidden="1" x14ac:dyDescent="0.25">
      <c r="A116" s="28">
        <f t="shared" ref="A116:A216" si="11">B116</f>
        <v>45724</v>
      </c>
      <c r="B116" s="29">
        <f>+B114+1</f>
        <v>45724</v>
      </c>
      <c r="C116" s="30">
        <f t="shared" ref="C116:C216" si="12">B116</f>
        <v>45724</v>
      </c>
      <c r="D116" s="36">
        <f t="shared" ref="D116:D216" si="13">WEEKNUM(A116)</f>
        <v>10</v>
      </c>
      <c r="E116" s="32"/>
      <c r="F116" s="67"/>
      <c r="G116" s="43"/>
      <c r="H116" s="43"/>
      <c r="I116" s="44"/>
      <c r="J116" s="35"/>
    </row>
    <row r="117" spans="1:10" hidden="1" x14ac:dyDescent="0.25">
      <c r="A117" s="28">
        <f t="shared" si="11"/>
        <v>45725</v>
      </c>
      <c r="B117" s="29">
        <f t="shared" ref="B117:B174" si="14">+B116+1</f>
        <v>45725</v>
      </c>
      <c r="C117" s="30">
        <f t="shared" si="12"/>
        <v>45725</v>
      </c>
      <c r="D117" s="36">
        <f t="shared" si="13"/>
        <v>11</v>
      </c>
      <c r="E117" s="32"/>
      <c r="F117" s="67"/>
      <c r="G117" s="43"/>
      <c r="H117" s="43"/>
      <c r="I117" s="44"/>
      <c r="J117" s="35"/>
    </row>
    <row r="118" spans="1:10" hidden="1" x14ac:dyDescent="0.25">
      <c r="A118" s="28">
        <f t="shared" si="11"/>
        <v>45726</v>
      </c>
      <c r="B118" s="29">
        <f t="shared" si="14"/>
        <v>45726</v>
      </c>
      <c r="C118" s="30">
        <f t="shared" si="12"/>
        <v>45726</v>
      </c>
      <c r="D118" s="36">
        <f t="shared" si="13"/>
        <v>11</v>
      </c>
      <c r="E118" s="37">
        <v>8.5</v>
      </c>
      <c r="F118" s="38" t="s">
        <v>103</v>
      </c>
      <c r="G118" s="39" t="s">
        <v>54</v>
      </c>
      <c r="H118" s="39" t="s">
        <v>104</v>
      </c>
      <c r="I118" s="44"/>
      <c r="J118" s="35"/>
    </row>
    <row r="119" spans="1:10" hidden="1" x14ac:dyDescent="0.25">
      <c r="A119" s="28">
        <f t="shared" si="11"/>
        <v>45727</v>
      </c>
      <c r="B119" s="29">
        <f>+B118+1</f>
        <v>45727</v>
      </c>
      <c r="C119" s="30">
        <f t="shared" si="12"/>
        <v>45727</v>
      </c>
      <c r="D119" s="36">
        <f t="shared" si="13"/>
        <v>11</v>
      </c>
      <c r="E119" s="32">
        <v>7</v>
      </c>
      <c r="F119" s="67" t="s">
        <v>103</v>
      </c>
      <c r="G119" s="43" t="s">
        <v>54</v>
      </c>
      <c r="H119" s="43" t="s">
        <v>104</v>
      </c>
      <c r="I119" s="44"/>
      <c r="J119" s="35"/>
    </row>
    <row r="120" spans="1:10" hidden="1" x14ac:dyDescent="0.25">
      <c r="A120" s="28">
        <v>45727</v>
      </c>
      <c r="B120" s="29">
        <v>45727</v>
      </c>
      <c r="C120" s="30">
        <v>45727</v>
      </c>
      <c r="D120" s="36">
        <v>11</v>
      </c>
      <c r="E120" s="32">
        <v>1.5</v>
      </c>
      <c r="F120" s="67" t="s">
        <v>15</v>
      </c>
      <c r="G120" s="43" t="s">
        <v>16</v>
      </c>
      <c r="H120" s="43" t="s">
        <v>17</v>
      </c>
      <c r="I120" s="44"/>
      <c r="J120" s="35"/>
    </row>
    <row r="121" spans="1:10" hidden="1" x14ac:dyDescent="0.25">
      <c r="A121" s="28">
        <f t="shared" si="11"/>
        <v>45728</v>
      </c>
      <c r="B121" s="29">
        <f>+B119+1</f>
        <v>45728</v>
      </c>
      <c r="C121" s="30">
        <f t="shared" si="12"/>
        <v>45728</v>
      </c>
      <c r="D121" s="36">
        <f t="shared" si="13"/>
        <v>11</v>
      </c>
      <c r="E121" s="37">
        <v>8.5</v>
      </c>
      <c r="F121" s="38" t="s">
        <v>103</v>
      </c>
      <c r="G121" s="39" t="s">
        <v>54</v>
      </c>
      <c r="H121" s="39" t="s">
        <v>104</v>
      </c>
      <c r="I121" s="44"/>
      <c r="J121" s="35"/>
    </row>
    <row r="122" spans="1:10" hidden="1" x14ac:dyDescent="0.25">
      <c r="A122" s="28">
        <f t="shared" si="11"/>
        <v>45729</v>
      </c>
      <c r="B122" s="29">
        <f>+B121+1</f>
        <v>45729</v>
      </c>
      <c r="C122" s="30">
        <f t="shared" si="12"/>
        <v>45729</v>
      </c>
      <c r="D122" s="36">
        <f t="shared" si="13"/>
        <v>11</v>
      </c>
      <c r="E122" s="32">
        <v>4</v>
      </c>
      <c r="F122" s="67" t="s">
        <v>15</v>
      </c>
      <c r="G122" s="43" t="s">
        <v>78</v>
      </c>
      <c r="H122" s="43" t="s">
        <v>110</v>
      </c>
      <c r="I122" s="44"/>
      <c r="J122" s="35"/>
    </row>
    <row r="123" spans="1:10" hidden="1" x14ac:dyDescent="0.25">
      <c r="A123" s="28">
        <v>45729</v>
      </c>
      <c r="B123" s="29">
        <v>45729</v>
      </c>
      <c r="C123" s="30">
        <v>45729</v>
      </c>
      <c r="D123" s="36">
        <v>11</v>
      </c>
      <c r="E123" s="32">
        <v>1.5</v>
      </c>
      <c r="F123" s="67" t="s">
        <v>15</v>
      </c>
      <c r="G123" s="43" t="s">
        <v>16</v>
      </c>
      <c r="H123" s="43" t="s">
        <v>99</v>
      </c>
      <c r="I123" s="44"/>
      <c r="J123" s="35"/>
    </row>
    <row r="124" spans="1:10" hidden="1" x14ac:dyDescent="0.25">
      <c r="A124" s="28">
        <v>45729</v>
      </c>
      <c r="B124" s="29">
        <v>45729</v>
      </c>
      <c r="C124" s="30">
        <v>45729</v>
      </c>
      <c r="D124" s="36">
        <v>11</v>
      </c>
      <c r="E124" s="32">
        <v>1.5</v>
      </c>
      <c r="F124" s="67" t="s">
        <v>15</v>
      </c>
      <c r="G124" s="43" t="s">
        <v>16</v>
      </c>
      <c r="H124" s="43" t="s">
        <v>17</v>
      </c>
      <c r="I124" s="44"/>
      <c r="J124" s="35"/>
    </row>
    <row r="125" spans="1:10" hidden="1" x14ac:dyDescent="0.25">
      <c r="A125" s="28">
        <v>45729</v>
      </c>
      <c r="B125" s="29">
        <v>45729</v>
      </c>
      <c r="C125" s="30">
        <v>45729</v>
      </c>
      <c r="D125" s="36">
        <v>11</v>
      </c>
      <c r="E125" s="32">
        <v>1.5</v>
      </c>
      <c r="F125" s="67" t="s">
        <v>15</v>
      </c>
      <c r="G125" s="43" t="s">
        <v>16</v>
      </c>
      <c r="H125" s="43" t="s">
        <v>17</v>
      </c>
      <c r="I125" s="44"/>
      <c r="J125" s="35"/>
    </row>
    <row r="126" spans="1:10" hidden="1" x14ac:dyDescent="0.25">
      <c r="A126" s="28">
        <f t="shared" si="11"/>
        <v>45730</v>
      </c>
      <c r="B126" s="29">
        <f>+B122+1</f>
        <v>45730</v>
      </c>
      <c r="C126" s="30">
        <f t="shared" si="12"/>
        <v>45730</v>
      </c>
      <c r="D126" s="36">
        <f t="shared" si="13"/>
        <v>11</v>
      </c>
      <c r="E126" s="37">
        <v>2</v>
      </c>
      <c r="F126" s="38" t="s">
        <v>15</v>
      </c>
      <c r="G126" s="39" t="s">
        <v>16</v>
      </c>
      <c r="H126" s="39" t="s">
        <v>99</v>
      </c>
      <c r="I126" s="44"/>
      <c r="J126" s="35"/>
    </row>
    <row r="127" spans="1:10" hidden="1" x14ac:dyDescent="0.25">
      <c r="A127" s="28">
        <v>45730</v>
      </c>
      <c r="B127" s="29">
        <v>45730</v>
      </c>
      <c r="C127" s="30">
        <v>45730</v>
      </c>
      <c r="D127" s="36">
        <v>11</v>
      </c>
      <c r="E127" s="37">
        <v>4</v>
      </c>
      <c r="F127" s="38" t="s">
        <v>15</v>
      </c>
      <c r="G127" s="39" t="s">
        <v>78</v>
      </c>
      <c r="H127" s="39" t="s">
        <v>110</v>
      </c>
      <c r="I127" s="44"/>
      <c r="J127" s="35">
        <f>SUM(E118:E127)</f>
        <v>40</v>
      </c>
    </row>
    <row r="128" spans="1:10" hidden="1" x14ac:dyDescent="0.25">
      <c r="A128" s="28">
        <f t="shared" si="11"/>
        <v>45731</v>
      </c>
      <c r="B128" s="29">
        <f>+B126+1</f>
        <v>45731</v>
      </c>
      <c r="C128" s="30">
        <f t="shared" si="12"/>
        <v>45731</v>
      </c>
      <c r="D128" s="36">
        <f t="shared" si="13"/>
        <v>11</v>
      </c>
      <c r="E128" s="32"/>
      <c r="F128" s="67"/>
      <c r="G128" s="43"/>
      <c r="H128" s="43"/>
      <c r="I128" s="44"/>
      <c r="J128" s="35"/>
    </row>
    <row r="129" spans="1:10" hidden="1" x14ac:dyDescent="0.25">
      <c r="A129" s="28">
        <f t="shared" si="11"/>
        <v>45732</v>
      </c>
      <c r="B129" s="29">
        <f t="shared" si="14"/>
        <v>45732</v>
      </c>
      <c r="C129" s="30">
        <f t="shared" si="12"/>
        <v>45732</v>
      </c>
      <c r="D129" s="36">
        <f t="shared" si="13"/>
        <v>12</v>
      </c>
      <c r="E129" s="32"/>
      <c r="F129" s="67"/>
      <c r="G129" s="43"/>
      <c r="H129" s="43"/>
      <c r="I129" s="44"/>
      <c r="J129" s="35"/>
    </row>
    <row r="130" spans="1:10" hidden="1" x14ac:dyDescent="0.25">
      <c r="A130" s="28">
        <f t="shared" si="11"/>
        <v>45733</v>
      </c>
      <c r="B130" s="29">
        <f t="shared" si="14"/>
        <v>45733</v>
      </c>
      <c r="C130" s="30">
        <f t="shared" si="12"/>
        <v>45733</v>
      </c>
      <c r="D130" s="36">
        <f t="shared" si="13"/>
        <v>12</v>
      </c>
      <c r="E130" s="32">
        <v>8.5</v>
      </c>
      <c r="F130" s="67" t="s">
        <v>15</v>
      </c>
      <c r="G130" s="43" t="s">
        <v>111</v>
      </c>
      <c r="H130" s="43" t="s">
        <v>112</v>
      </c>
      <c r="I130" s="44"/>
      <c r="J130" s="35"/>
    </row>
    <row r="131" spans="1:10" hidden="1" x14ac:dyDescent="0.25">
      <c r="A131" s="28">
        <f t="shared" si="11"/>
        <v>45734</v>
      </c>
      <c r="B131" s="29">
        <f t="shared" si="14"/>
        <v>45734</v>
      </c>
      <c r="C131" s="30">
        <f t="shared" si="12"/>
        <v>45734</v>
      </c>
      <c r="D131" s="36">
        <f t="shared" si="13"/>
        <v>12</v>
      </c>
      <c r="E131" s="32">
        <v>8.5</v>
      </c>
      <c r="F131" s="67" t="s">
        <v>15</v>
      </c>
      <c r="G131" s="43" t="s">
        <v>111</v>
      </c>
      <c r="H131" s="43" t="s">
        <v>112</v>
      </c>
      <c r="I131" s="44"/>
      <c r="J131" s="35"/>
    </row>
    <row r="132" spans="1:10" hidden="1" x14ac:dyDescent="0.25">
      <c r="A132" s="28">
        <f t="shared" si="11"/>
        <v>45735</v>
      </c>
      <c r="B132" s="29">
        <f t="shared" si="14"/>
        <v>45735</v>
      </c>
      <c r="C132" s="30">
        <f t="shared" si="12"/>
        <v>45735</v>
      </c>
      <c r="D132" s="36">
        <f t="shared" si="13"/>
        <v>12</v>
      </c>
      <c r="E132" s="32">
        <v>8.5</v>
      </c>
      <c r="F132" s="67" t="s">
        <v>15</v>
      </c>
      <c r="G132" s="43" t="s">
        <v>111</v>
      </c>
      <c r="H132" s="43" t="s">
        <v>112</v>
      </c>
      <c r="I132" s="44"/>
      <c r="J132" s="35"/>
    </row>
    <row r="133" spans="1:10" hidden="1" x14ac:dyDescent="0.25">
      <c r="A133" s="28">
        <f t="shared" si="11"/>
        <v>45736</v>
      </c>
      <c r="B133" s="29">
        <f t="shared" si="14"/>
        <v>45736</v>
      </c>
      <c r="C133" s="30">
        <f t="shared" si="12"/>
        <v>45736</v>
      </c>
      <c r="D133" s="36">
        <f t="shared" si="13"/>
        <v>12</v>
      </c>
      <c r="E133" s="32">
        <v>8.5</v>
      </c>
      <c r="F133" s="67" t="s">
        <v>15</v>
      </c>
      <c r="G133" s="43" t="s">
        <v>111</v>
      </c>
      <c r="H133" s="43" t="s">
        <v>112</v>
      </c>
      <c r="I133" s="44"/>
      <c r="J133" s="35"/>
    </row>
    <row r="134" spans="1:10" hidden="1" x14ac:dyDescent="0.25">
      <c r="A134" s="28">
        <f t="shared" si="11"/>
        <v>45737</v>
      </c>
      <c r="B134" s="29">
        <f>+B133+1</f>
        <v>45737</v>
      </c>
      <c r="C134" s="30">
        <f t="shared" si="12"/>
        <v>45737</v>
      </c>
      <c r="D134" s="36">
        <f t="shared" si="13"/>
        <v>12</v>
      </c>
      <c r="E134" s="32">
        <v>6</v>
      </c>
      <c r="F134" s="67" t="s">
        <v>15</v>
      </c>
      <c r="G134" s="43" t="s">
        <v>111</v>
      </c>
      <c r="H134" s="43" t="s">
        <v>112</v>
      </c>
      <c r="I134" s="44"/>
      <c r="J134" s="35">
        <f>SUM(E130:E134)</f>
        <v>40</v>
      </c>
    </row>
    <row r="135" spans="1:10" hidden="1" x14ac:dyDescent="0.25">
      <c r="A135" s="28">
        <f t="shared" si="11"/>
        <v>45738</v>
      </c>
      <c r="B135" s="29">
        <f t="shared" si="14"/>
        <v>45738</v>
      </c>
      <c r="C135" s="30">
        <f t="shared" si="12"/>
        <v>45738</v>
      </c>
      <c r="D135" s="36">
        <f t="shared" si="13"/>
        <v>12</v>
      </c>
      <c r="E135" s="32"/>
      <c r="F135" s="67"/>
      <c r="G135" s="43"/>
      <c r="H135" s="43"/>
      <c r="I135" s="44"/>
      <c r="J135" s="35"/>
    </row>
    <row r="136" spans="1:10" hidden="1" x14ac:dyDescent="0.25">
      <c r="A136" s="28">
        <f t="shared" si="11"/>
        <v>45739</v>
      </c>
      <c r="B136" s="29">
        <f t="shared" si="14"/>
        <v>45739</v>
      </c>
      <c r="C136" s="30">
        <f t="shared" si="12"/>
        <v>45739</v>
      </c>
      <c r="D136" s="36">
        <f t="shared" si="13"/>
        <v>13</v>
      </c>
      <c r="E136" s="32"/>
      <c r="F136" s="67"/>
      <c r="G136" s="43"/>
      <c r="H136" s="43"/>
      <c r="I136" s="44"/>
      <c r="J136" s="35"/>
    </row>
    <row r="137" spans="1:10" hidden="1" x14ac:dyDescent="0.25">
      <c r="A137" s="28">
        <f t="shared" si="11"/>
        <v>45740</v>
      </c>
      <c r="B137" s="29">
        <f t="shared" si="14"/>
        <v>45740</v>
      </c>
      <c r="C137" s="30">
        <f t="shared" si="12"/>
        <v>45740</v>
      </c>
      <c r="D137" s="36">
        <f t="shared" si="13"/>
        <v>13</v>
      </c>
      <c r="E137" s="32">
        <v>8.5</v>
      </c>
      <c r="F137" s="67" t="s">
        <v>15</v>
      </c>
      <c r="G137" s="43" t="s">
        <v>111</v>
      </c>
      <c r="H137" s="43" t="s">
        <v>112</v>
      </c>
      <c r="I137" s="44"/>
      <c r="J137" s="35"/>
    </row>
    <row r="138" spans="1:10" hidden="1" x14ac:dyDescent="0.25">
      <c r="A138" s="28">
        <f t="shared" si="11"/>
        <v>45741</v>
      </c>
      <c r="B138" s="29">
        <f t="shared" si="14"/>
        <v>45741</v>
      </c>
      <c r="C138" s="30">
        <f t="shared" si="12"/>
        <v>45741</v>
      </c>
      <c r="D138" s="36">
        <f t="shared" si="13"/>
        <v>13</v>
      </c>
      <c r="E138" s="32">
        <v>8.5</v>
      </c>
      <c r="F138" s="67" t="s">
        <v>82</v>
      </c>
      <c r="G138" s="43" t="s">
        <v>83</v>
      </c>
      <c r="H138" s="43" t="s">
        <v>39</v>
      </c>
      <c r="I138" s="44"/>
      <c r="J138" s="35"/>
    </row>
    <row r="139" spans="1:10" hidden="1" x14ac:dyDescent="0.25">
      <c r="A139" s="28">
        <f t="shared" si="11"/>
        <v>45742</v>
      </c>
      <c r="B139" s="29">
        <f t="shared" si="14"/>
        <v>45742</v>
      </c>
      <c r="C139" s="30">
        <f t="shared" si="12"/>
        <v>45742</v>
      </c>
      <c r="D139" s="36">
        <f t="shared" si="13"/>
        <v>13</v>
      </c>
      <c r="E139" s="32">
        <v>8.5</v>
      </c>
      <c r="F139" s="67" t="s">
        <v>82</v>
      </c>
      <c r="G139" s="43" t="s">
        <v>83</v>
      </c>
      <c r="H139" s="43" t="s">
        <v>39</v>
      </c>
      <c r="I139" s="44"/>
      <c r="J139" s="35"/>
    </row>
    <row r="140" spans="1:10" x14ac:dyDescent="0.25">
      <c r="A140" s="28">
        <f t="shared" si="11"/>
        <v>45743</v>
      </c>
      <c r="B140" s="29">
        <f t="shared" si="14"/>
        <v>45743</v>
      </c>
      <c r="C140" s="30">
        <f t="shared" si="12"/>
        <v>45743</v>
      </c>
      <c r="D140" s="36">
        <f t="shared" si="13"/>
        <v>13</v>
      </c>
      <c r="E140" s="32">
        <v>6.5</v>
      </c>
      <c r="F140" s="67" t="s">
        <v>34</v>
      </c>
      <c r="G140" s="43" t="s">
        <v>35</v>
      </c>
      <c r="H140" s="43" t="s">
        <v>113</v>
      </c>
      <c r="I140" s="44"/>
      <c r="J140" s="35"/>
    </row>
    <row r="141" spans="1:10" hidden="1" x14ac:dyDescent="0.25">
      <c r="A141" s="28">
        <v>45743</v>
      </c>
      <c r="B141" s="29">
        <v>45743</v>
      </c>
      <c r="C141" s="30">
        <v>45743</v>
      </c>
      <c r="D141" s="36">
        <v>13</v>
      </c>
      <c r="E141" s="32">
        <v>2</v>
      </c>
      <c r="F141" s="67" t="s">
        <v>15</v>
      </c>
      <c r="G141" s="43" t="s">
        <v>78</v>
      </c>
      <c r="H141" s="43" t="s">
        <v>110</v>
      </c>
      <c r="I141" s="44"/>
      <c r="J141" s="35"/>
    </row>
    <row r="142" spans="1:10" hidden="1" x14ac:dyDescent="0.25">
      <c r="A142" s="28">
        <f t="shared" si="11"/>
        <v>45744</v>
      </c>
      <c r="B142" s="29">
        <f>+B140+1</f>
        <v>45744</v>
      </c>
      <c r="C142" s="30">
        <f t="shared" si="12"/>
        <v>45744</v>
      </c>
      <c r="D142" s="36">
        <f t="shared" si="13"/>
        <v>13</v>
      </c>
      <c r="E142" s="32">
        <v>3</v>
      </c>
      <c r="F142" s="67" t="s">
        <v>15</v>
      </c>
      <c r="G142" s="43" t="s">
        <v>16</v>
      </c>
      <c r="H142" s="43" t="s">
        <v>99</v>
      </c>
      <c r="I142" s="44"/>
      <c r="J142" s="35"/>
    </row>
    <row r="143" spans="1:10" hidden="1" x14ac:dyDescent="0.25">
      <c r="A143" s="28">
        <v>45744</v>
      </c>
      <c r="B143" s="29">
        <v>45744</v>
      </c>
      <c r="C143" s="30">
        <v>45744</v>
      </c>
      <c r="D143" s="36">
        <v>13</v>
      </c>
      <c r="E143" s="32">
        <v>3</v>
      </c>
      <c r="F143" s="67" t="s">
        <v>15</v>
      </c>
      <c r="G143" s="43" t="s">
        <v>78</v>
      </c>
      <c r="H143" s="43" t="s">
        <v>114</v>
      </c>
      <c r="I143" s="44"/>
      <c r="J143" s="35">
        <f>SUM(E137:E143)</f>
        <v>40</v>
      </c>
    </row>
    <row r="144" spans="1:10" hidden="1" x14ac:dyDescent="0.25">
      <c r="A144" s="28">
        <f t="shared" si="11"/>
        <v>45745</v>
      </c>
      <c r="B144" s="29">
        <f>+B142+1</f>
        <v>45745</v>
      </c>
      <c r="C144" s="30">
        <f t="shared" si="12"/>
        <v>45745</v>
      </c>
      <c r="D144" s="36">
        <f t="shared" si="13"/>
        <v>13</v>
      </c>
      <c r="E144" s="32"/>
      <c r="F144" s="67"/>
      <c r="G144" s="43"/>
      <c r="H144" s="43"/>
      <c r="I144" s="44"/>
      <c r="J144" s="35"/>
    </row>
    <row r="145" spans="1:10" hidden="1" x14ac:dyDescent="0.25">
      <c r="A145" s="28">
        <f t="shared" si="11"/>
        <v>45746</v>
      </c>
      <c r="B145" s="29">
        <f t="shared" si="14"/>
        <v>45746</v>
      </c>
      <c r="C145" s="30">
        <f t="shared" si="12"/>
        <v>45746</v>
      </c>
      <c r="D145" s="36">
        <f t="shared" si="13"/>
        <v>14</v>
      </c>
      <c r="E145" s="32"/>
      <c r="F145" s="67"/>
      <c r="G145" s="43"/>
      <c r="H145" s="43"/>
      <c r="I145" s="44"/>
      <c r="J145" s="35"/>
    </row>
    <row r="146" spans="1:10" hidden="1" x14ac:dyDescent="0.25">
      <c r="A146" s="28">
        <f t="shared" si="11"/>
        <v>45747</v>
      </c>
      <c r="B146" s="29">
        <f t="shared" si="14"/>
        <v>45747</v>
      </c>
      <c r="C146" s="30">
        <f t="shared" si="12"/>
        <v>45747</v>
      </c>
      <c r="D146" s="36">
        <f t="shared" si="13"/>
        <v>14</v>
      </c>
      <c r="E146" s="37">
        <v>8.5</v>
      </c>
      <c r="F146" s="38" t="s">
        <v>15</v>
      </c>
      <c r="G146" s="39" t="s">
        <v>19</v>
      </c>
      <c r="H146" s="39" t="s">
        <v>115</v>
      </c>
      <c r="I146" s="44"/>
      <c r="J146" s="35"/>
    </row>
    <row r="147" spans="1:10" hidden="1" x14ac:dyDescent="0.25">
      <c r="A147" s="28">
        <f t="shared" si="11"/>
        <v>45748</v>
      </c>
      <c r="B147" s="29">
        <f t="shared" si="14"/>
        <v>45748</v>
      </c>
      <c r="C147" s="30">
        <f t="shared" si="12"/>
        <v>45748</v>
      </c>
      <c r="D147" s="36">
        <f t="shared" si="13"/>
        <v>14</v>
      </c>
      <c r="E147" s="58">
        <v>0</v>
      </c>
      <c r="F147" s="68" t="s">
        <v>15</v>
      </c>
      <c r="G147" s="69" t="s">
        <v>16</v>
      </c>
      <c r="H147" s="69" t="s">
        <v>116</v>
      </c>
      <c r="I147" s="44"/>
      <c r="J147" s="35"/>
    </row>
    <row r="148" spans="1:10" hidden="1" x14ac:dyDescent="0.25">
      <c r="A148" s="28">
        <v>45748</v>
      </c>
      <c r="B148" s="29">
        <v>45748</v>
      </c>
      <c r="C148" s="30">
        <v>45748</v>
      </c>
      <c r="D148" s="36">
        <v>14</v>
      </c>
      <c r="E148" s="32">
        <v>8.5</v>
      </c>
      <c r="F148" s="67" t="s">
        <v>15</v>
      </c>
      <c r="G148" s="43" t="s">
        <v>78</v>
      </c>
      <c r="H148" s="43" t="s">
        <v>117</v>
      </c>
      <c r="I148" s="44"/>
      <c r="J148" s="35"/>
    </row>
    <row r="149" spans="1:10" hidden="1" x14ac:dyDescent="0.25">
      <c r="A149" s="28">
        <f t="shared" si="11"/>
        <v>45749</v>
      </c>
      <c r="B149" s="29">
        <f>+B147+1</f>
        <v>45749</v>
      </c>
      <c r="C149" s="30">
        <f t="shared" si="12"/>
        <v>45749</v>
      </c>
      <c r="D149" s="36">
        <f t="shared" si="13"/>
        <v>14</v>
      </c>
      <c r="E149" s="37">
        <v>1.5</v>
      </c>
      <c r="F149" s="38" t="s">
        <v>15</v>
      </c>
      <c r="G149" s="39" t="s">
        <v>16</v>
      </c>
      <c r="H149" s="39" t="s">
        <v>17</v>
      </c>
      <c r="I149" s="44"/>
      <c r="J149" s="35"/>
    </row>
    <row r="150" spans="1:10" hidden="1" x14ac:dyDescent="0.25">
      <c r="A150" s="28">
        <v>45749</v>
      </c>
      <c r="B150" s="29">
        <v>45749</v>
      </c>
      <c r="C150" s="30">
        <v>45749</v>
      </c>
      <c r="D150" s="36">
        <v>14</v>
      </c>
      <c r="E150" s="37">
        <v>7</v>
      </c>
      <c r="F150" s="38" t="s">
        <v>15</v>
      </c>
      <c r="G150" s="39" t="s">
        <v>78</v>
      </c>
      <c r="H150" s="39" t="s">
        <v>117</v>
      </c>
      <c r="I150" s="44"/>
      <c r="J150" s="35"/>
    </row>
    <row r="151" spans="1:10" hidden="1" x14ac:dyDescent="0.25">
      <c r="A151" s="28">
        <f t="shared" si="11"/>
        <v>45750</v>
      </c>
      <c r="B151" s="29">
        <f>+B149+1</f>
        <v>45750</v>
      </c>
      <c r="C151" s="30">
        <f t="shared" si="12"/>
        <v>45750</v>
      </c>
      <c r="D151" s="36">
        <f t="shared" si="13"/>
        <v>14</v>
      </c>
      <c r="E151" s="32">
        <v>1.5</v>
      </c>
      <c r="F151" s="67" t="s">
        <v>15</v>
      </c>
      <c r="G151" s="43" t="s">
        <v>16</v>
      </c>
      <c r="H151" s="43" t="s">
        <v>17</v>
      </c>
      <c r="I151" s="44"/>
      <c r="J151" s="35"/>
    </row>
    <row r="152" spans="1:10" hidden="1" x14ac:dyDescent="0.25">
      <c r="A152" s="28">
        <v>45750</v>
      </c>
      <c r="B152" s="29">
        <v>45750</v>
      </c>
      <c r="C152" s="30">
        <v>45750</v>
      </c>
      <c r="D152" s="36">
        <v>14</v>
      </c>
      <c r="E152" s="32">
        <v>4</v>
      </c>
      <c r="F152" s="67" t="s">
        <v>15</v>
      </c>
      <c r="G152" s="43" t="s">
        <v>78</v>
      </c>
      <c r="H152" s="43" t="s">
        <v>117</v>
      </c>
      <c r="I152" s="44"/>
      <c r="J152" s="35"/>
    </row>
    <row r="153" spans="1:10" hidden="1" x14ac:dyDescent="0.25">
      <c r="A153" s="28">
        <v>45750</v>
      </c>
      <c r="B153" s="29">
        <v>45750</v>
      </c>
      <c r="C153" s="30">
        <v>45750</v>
      </c>
      <c r="D153" s="36">
        <v>14</v>
      </c>
      <c r="E153" s="32">
        <v>3</v>
      </c>
      <c r="F153" s="67" t="s">
        <v>15</v>
      </c>
      <c r="G153" s="43" t="s">
        <v>19</v>
      </c>
      <c r="H153" s="43" t="s">
        <v>118</v>
      </c>
      <c r="I153" s="44"/>
      <c r="J153" s="35"/>
    </row>
    <row r="154" spans="1:10" x14ac:dyDescent="0.25">
      <c r="A154" s="28">
        <f t="shared" si="11"/>
        <v>45751</v>
      </c>
      <c r="B154" s="29">
        <f>+B151+1</f>
        <v>45751</v>
      </c>
      <c r="C154" s="30">
        <f t="shared" si="12"/>
        <v>45751</v>
      </c>
      <c r="D154" s="36">
        <f t="shared" si="13"/>
        <v>14</v>
      </c>
      <c r="E154" s="37">
        <v>3</v>
      </c>
      <c r="F154" s="38" t="s">
        <v>34</v>
      </c>
      <c r="G154" s="39" t="s">
        <v>35</v>
      </c>
      <c r="H154" s="39" t="s">
        <v>119</v>
      </c>
      <c r="I154" s="44"/>
      <c r="J154" s="35"/>
    </row>
    <row r="155" spans="1:10" x14ac:dyDescent="0.25">
      <c r="A155" s="28">
        <v>45751</v>
      </c>
      <c r="B155" s="29">
        <v>45751</v>
      </c>
      <c r="C155" s="30">
        <v>45751</v>
      </c>
      <c r="D155" s="36">
        <v>14</v>
      </c>
      <c r="E155" s="37">
        <v>3</v>
      </c>
      <c r="F155" s="38" t="s">
        <v>34</v>
      </c>
      <c r="G155" s="39" t="s">
        <v>35</v>
      </c>
      <c r="H155" s="39" t="s">
        <v>120</v>
      </c>
      <c r="I155" s="44"/>
      <c r="J155" s="35">
        <f>SUM(E146:E155)</f>
        <v>40</v>
      </c>
    </row>
    <row r="156" spans="1:10" hidden="1" x14ac:dyDescent="0.25">
      <c r="A156" s="28">
        <f t="shared" si="11"/>
        <v>45752</v>
      </c>
      <c r="B156" s="29">
        <f>+B154+1</f>
        <v>45752</v>
      </c>
      <c r="C156" s="30">
        <f t="shared" si="12"/>
        <v>45752</v>
      </c>
      <c r="D156" s="36">
        <f t="shared" si="13"/>
        <v>14</v>
      </c>
      <c r="E156" s="32"/>
      <c r="F156" s="67"/>
      <c r="G156" s="43"/>
      <c r="H156" s="43"/>
      <c r="I156" s="44"/>
      <c r="J156" s="35"/>
    </row>
    <row r="157" spans="1:10" hidden="1" x14ac:dyDescent="0.25">
      <c r="A157" s="28">
        <f t="shared" si="11"/>
        <v>45753</v>
      </c>
      <c r="B157" s="29">
        <f t="shared" si="14"/>
        <v>45753</v>
      </c>
      <c r="C157" s="30">
        <f t="shared" si="12"/>
        <v>45753</v>
      </c>
      <c r="D157" s="36">
        <f t="shared" si="13"/>
        <v>15</v>
      </c>
      <c r="E157" s="32"/>
      <c r="F157" s="67"/>
      <c r="G157" s="43"/>
      <c r="H157" s="43"/>
      <c r="I157" s="44"/>
      <c r="J157" s="35"/>
    </row>
    <row r="158" spans="1:10" x14ac:dyDescent="0.25">
      <c r="A158" s="28">
        <f t="shared" si="11"/>
        <v>45754</v>
      </c>
      <c r="B158" s="29">
        <f t="shared" si="14"/>
        <v>45754</v>
      </c>
      <c r="C158" s="30">
        <f t="shared" si="12"/>
        <v>45754</v>
      </c>
      <c r="D158" s="36">
        <f t="shared" si="13"/>
        <v>15</v>
      </c>
      <c r="E158" s="37">
        <v>8.5</v>
      </c>
      <c r="F158" s="38" t="s">
        <v>34</v>
      </c>
      <c r="G158" s="39" t="s">
        <v>35</v>
      </c>
      <c r="H158" s="39" t="s">
        <v>120</v>
      </c>
      <c r="I158" s="44"/>
      <c r="J158" s="35"/>
    </row>
    <row r="159" spans="1:10" hidden="1" x14ac:dyDescent="0.25">
      <c r="A159" s="28">
        <f t="shared" si="11"/>
        <v>45755</v>
      </c>
      <c r="B159" s="29">
        <f t="shared" si="14"/>
        <v>45755</v>
      </c>
      <c r="C159" s="30">
        <f t="shared" si="12"/>
        <v>45755</v>
      </c>
      <c r="D159" s="36">
        <f t="shared" si="13"/>
        <v>15</v>
      </c>
      <c r="E159" s="32">
        <v>1.5</v>
      </c>
      <c r="F159" s="67" t="s">
        <v>15</v>
      </c>
      <c r="G159" s="43" t="s">
        <v>16</v>
      </c>
      <c r="H159" s="43" t="s">
        <v>17</v>
      </c>
      <c r="I159" s="44"/>
      <c r="J159" s="35"/>
    </row>
    <row r="160" spans="1:10" x14ac:dyDescent="0.25">
      <c r="A160" s="28">
        <v>45755</v>
      </c>
      <c r="B160" s="29">
        <v>45755</v>
      </c>
      <c r="C160" s="30">
        <v>45755</v>
      </c>
      <c r="D160" s="36">
        <v>15</v>
      </c>
      <c r="E160" s="32">
        <v>5</v>
      </c>
      <c r="F160" s="67" t="s">
        <v>34</v>
      </c>
      <c r="G160" s="43" t="s">
        <v>35</v>
      </c>
      <c r="H160" s="43" t="s">
        <v>119</v>
      </c>
      <c r="I160" s="44"/>
      <c r="J160" s="35"/>
    </row>
    <row r="161" spans="1:10" hidden="1" x14ac:dyDescent="0.25">
      <c r="A161" s="28">
        <v>45755</v>
      </c>
      <c r="B161" s="29">
        <v>45755</v>
      </c>
      <c r="C161" s="30">
        <v>45755</v>
      </c>
      <c r="D161" s="36">
        <v>15</v>
      </c>
      <c r="E161" s="32">
        <v>2</v>
      </c>
      <c r="F161" s="67" t="s">
        <v>15</v>
      </c>
      <c r="G161" s="43" t="s">
        <v>19</v>
      </c>
      <c r="H161" s="43" t="s">
        <v>121</v>
      </c>
      <c r="I161" s="44"/>
      <c r="J161" s="35"/>
    </row>
    <row r="162" spans="1:10" hidden="1" x14ac:dyDescent="0.25">
      <c r="A162" s="28">
        <f t="shared" si="11"/>
        <v>45756</v>
      </c>
      <c r="B162" s="29">
        <f>+B159+1</f>
        <v>45756</v>
      </c>
      <c r="C162" s="30">
        <f t="shared" si="12"/>
        <v>45756</v>
      </c>
      <c r="D162" s="36">
        <f t="shared" si="13"/>
        <v>15</v>
      </c>
      <c r="E162" s="37">
        <v>1</v>
      </c>
      <c r="F162" s="38" t="s">
        <v>15</v>
      </c>
      <c r="G162" s="39" t="s">
        <v>78</v>
      </c>
      <c r="H162" s="39" t="s">
        <v>117</v>
      </c>
      <c r="I162" s="44"/>
      <c r="J162" s="35"/>
    </row>
    <row r="163" spans="1:10" hidden="1" x14ac:dyDescent="0.25">
      <c r="A163" s="28">
        <v>45756</v>
      </c>
      <c r="B163" s="29">
        <v>45756</v>
      </c>
      <c r="C163" s="30">
        <v>45756</v>
      </c>
      <c r="D163" s="36">
        <v>15</v>
      </c>
      <c r="E163" s="37">
        <v>1</v>
      </c>
      <c r="F163" s="38" t="s">
        <v>15</v>
      </c>
      <c r="G163" s="39" t="s">
        <v>19</v>
      </c>
      <c r="H163" s="39" t="s">
        <v>122</v>
      </c>
      <c r="I163" s="44"/>
      <c r="J163" s="35"/>
    </row>
    <row r="164" spans="1:10" hidden="1" x14ac:dyDescent="0.25">
      <c r="A164" s="28">
        <v>45756</v>
      </c>
      <c r="B164" s="29">
        <v>45756</v>
      </c>
      <c r="C164" s="30">
        <v>45756</v>
      </c>
      <c r="D164" s="36">
        <v>15</v>
      </c>
      <c r="E164" s="37">
        <v>3</v>
      </c>
      <c r="F164" s="38" t="s">
        <v>15</v>
      </c>
      <c r="G164" s="39" t="s">
        <v>78</v>
      </c>
      <c r="H164" s="39" t="s">
        <v>123</v>
      </c>
      <c r="I164" s="44"/>
      <c r="J164" s="35"/>
    </row>
    <row r="165" spans="1:10" hidden="1" x14ac:dyDescent="0.25">
      <c r="A165" s="28">
        <v>45756</v>
      </c>
      <c r="B165" s="29">
        <v>45756</v>
      </c>
      <c r="C165" s="30">
        <v>45756</v>
      </c>
      <c r="D165" s="36">
        <v>15</v>
      </c>
      <c r="E165" s="37">
        <v>3.5</v>
      </c>
      <c r="F165" s="38" t="s">
        <v>15</v>
      </c>
      <c r="G165" s="39" t="s">
        <v>16</v>
      </c>
      <c r="H165" s="39" t="s">
        <v>124</v>
      </c>
      <c r="I165" s="44"/>
      <c r="J165" s="35"/>
    </row>
    <row r="166" spans="1:10" hidden="1" x14ac:dyDescent="0.25">
      <c r="A166" s="28">
        <f t="shared" si="11"/>
        <v>45757</v>
      </c>
      <c r="B166" s="29">
        <f>+B162+1</f>
        <v>45757</v>
      </c>
      <c r="C166" s="30">
        <f t="shared" si="12"/>
        <v>45757</v>
      </c>
      <c r="D166" s="36">
        <f t="shared" si="13"/>
        <v>15</v>
      </c>
      <c r="E166" s="32">
        <v>1.5</v>
      </c>
      <c r="F166" s="67" t="s">
        <v>15</v>
      </c>
      <c r="G166" s="43" t="s">
        <v>16</v>
      </c>
      <c r="H166" s="43" t="s">
        <v>17</v>
      </c>
      <c r="I166" s="44"/>
      <c r="J166" s="35"/>
    </row>
    <row r="167" spans="1:10" hidden="1" x14ac:dyDescent="0.25">
      <c r="A167" s="28">
        <v>45757</v>
      </c>
      <c r="B167" s="29">
        <v>45757</v>
      </c>
      <c r="C167" s="30">
        <v>45757</v>
      </c>
      <c r="D167" s="36">
        <v>15</v>
      </c>
      <c r="E167" s="32">
        <v>2</v>
      </c>
      <c r="F167" s="67" t="s">
        <v>15</v>
      </c>
      <c r="G167" s="43" t="s">
        <v>78</v>
      </c>
      <c r="H167" s="43" t="s">
        <v>123</v>
      </c>
      <c r="I167" s="44"/>
      <c r="J167" s="35"/>
    </row>
    <row r="168" spans="1:10" hidden="1" x14ac:dyDescent="0.25">
      <c r="A168" s="28">
        <v>45757</v>
      </c>
      <c r="B168" s="29">
        <v>45757</v>
      </c>
      <c r="C168" s="30">
        <v>45757</v>
      </c>
      <c r="D168" s="36">
        <v>15</v>
      </c>
      <c r="E168" s="32">
        <v>2</v>
      </c>
      <c r="F168" s="67" t="s">
        <v>15</v>
      </c>
      <c r="G168" s="43" t="s">
        <v>16</v>
      </c>
      <c r="H168" s="43" t="s">
        <v>124</v>
      </c>
      <c r="I168" s="44"/>
      <c r="J168" s="35"/>
    </row>
    <row r="169" spans="1:10" hidden="1" x14ac:dyDescent="0.25">
      <c r="A169" s="28">
        <v>45757</v>
      </c>
      <c r="B169" s="29">
        <v>45757</v>
      </c>
      <c r="C169" s="30">
        <v>45757</v>
      </c>
      <c r="D169" s="36">
        <v>15</v>
      </c>
      <c r="E169" s="32">
        <v>3</v>
      </c>
      <c r="F169" s="67" t="s">
        <v>15</v>
      </c>
      <c r="G169" s="43" t="s">
        <v>16</v>
      </c>
      <c r="H169" s="43" t="s">
        <v>98</v>
      </c>
      <c r="I169" s="44"/>
      <c r="J169" s="35"/>
    </row>
    <row r="170" spans="1:10" hidden="1" x14ac:dyDescent="0.25">
      <c r="A170" s="28">
        <f t="shared" si="11"/>
        <v>45758</v>
      </c>
      <c r="B170" s="29">
        <f>+B166+1</f>
        <v>45758</v>
      </c>
      <c r="C170" s="30">
        <f t="shared" si="12"/>
        <v>45758</v>
      </c>
      <c r="D170" s="36">
        <f t="shared" si="13"/>
        <v>15</v>
      </c>
      <c r="E170" s="37">
        <v>3</v>
      </c>
      <c r="F170" s="38" t="s">
        <v>15</v>
      </c>
      <c r="G170" s="39" t="s">
        <v>16</v>
      </c>
      <c r="H170" s="39" t="s">
        <v>98</v>
      </c>
      <c r="I170" s="44"/>
      <c r="J170" s="35"/>
    </row>
    <row r="171" spans="1:10" hidden="1" x14ac:dyDescent="0.25">
      <c r="A171" s="28">
        <v>45758</v>
      </c>
      <c r="B171" s="29">
        <v>45758</v>
      </c>
      <c r="C171" s="30">
        <v>45758</v>
      </c>
      <c r="D171" s="36">
        <v>15</v>
      </c>
      <c r="E171" s="37">
        <v>3</v>
      </c>
      <c r="F171" s="38" t="s">
        <v>15</v>
      </c>
      <c r="G171" s="39" t="s">
        <v>16</v>
      </c>
      <c r="H171" s="39" t="s">
        <v>124</v>
      </c>
      <c r="I171" s="44"/>
      <c r="J171" s="35">
        <f>SUM(E158:E171)</f>
        <v>40</v>
      </c>
    </row>
    <row r="172" spans="1:10" hidden="1" x14ac:dyDescent="0.25">
      <c r="A172" s="28">
        <f t="shared" si="11"/>
        <v>45759</v>
      </c>
      <c r="B172" s="29">
        <f>+B170+1</f>
        <v>45759</v>
      </c>
      <c r="C172" s="30">
        <f t="shared" si="12"/>
        <v>45759</v>
      </c>
      <c r="D172" s="36">
        <f t="shared" si="13"/>
        <v>15</v>
      </c>
      <c r="E172" s="32"/>
      <c r="F172" s="67"/>
      <c r="G172" s="43"/>
      <c r="H172" s="43"/>
      <c r="I172" s="44"/>
      <c r="J172" s="35"/>
    </row>
    <row r="173" spans="1:10" hidden="1" x14ac:dyDescent="0.25">
      <c r="A173" s="28">
        <f t="shared" si="11"/>
        <v>45760</v>
      </c>
      <c r="B173" s="29">
        <f t="shared" si="14"/>
        <v>45760</v>
      </c>
      <c r="C173" s="30">
        <f t="shared" si="12"/>
        <v>45760</v>
      </c>
      <c r="D173" s="36">
        <f t="shared" si="13"/>
        <v>16</v>
      </c>
      <c r="E173" s="32"/>
      <c r="F173" s="67"/>
      <c r="G173" s="43"/>
      <c r="H173" s="43"/>
      <c r="I173" s="44"/>
      <c r="J173" s="35"/>
    </row>
    <row r="174" spans="1:10" hidden="1" x14ac:dyDescent="0.25">
      <c r="A174" s="28">
        <f t="shared" si="11"/>
        <v>45761</v>
      </c>
      <c r="B174" s="29">
        <f t="shared" si="14"/>
        <v>45761</v>
      </c>
      <c r="C174" s="30">
        <f t="shared" si="12"/>
        <v>45761</v>
      </c>
      <c r="D174" s="36">
        <f t="shared" si="13"/>
        <v>16</v>
      </c>
      <c r="E174" s="37">
        <v>1.5</v>
      </c>
      <c r="F174" s="38" t="s">
        <v>15</v>
      </c>
      <c r="G174" s="39" t="s">
        <v>78</v>
      </c>
      <c r="H174" s="39" t="s">
        <v>123</v>
      </c>
      <c r="I174" s="44"/>
      <c r="J174" s="35"/>
    </row>
    <row r="175" spans="1:10" hidden="1" x14ac:dyDescent="0.25">
      <c r="A175" s="28">
        <v>45761</v>
      </c>
      <c r="B175" s="29">
        <v>45761</v>
      </c>
      <c r="C175" s="30">
        <v>45761</v>
      </c>
      <c r="D175" s="36">
        <v>16</v>
      </c>
      <c r="E175" s="37">
        <v>5</v>
      </c>
      <c r="F175" s="38" t="s">
        <v>15</v>
      </c>
      <c r="G175" s="39" t="s">
        <v>16</v>
      </c>
      <c r="H175" s="39" t="s">
        <v>98</v>
      </c>
      <c r="I175" s="44"/>
      <c r="J175" s="35"/>
    </row>
    <row r="176" spans="1:10" hidden="1" x14ac:dyDescent="0.25">
      <c r="A176" s="28">
        <v>45761</v>
      </c>
      <c r="B176" s="29">
        <v>45761</v>
      </c>
      <c r="C176" s="30">
        <v>45761</v>
      </c>
      <c r="D176" s="36">
        <v>16</v>
      </c>
      <c r="E176" s="37">
        <v>2</v>
      </c>
      <c r="F176" s="38" t="s">
        <v>15</v>
      </c>
      <c r="G176" s="39" t="s">
        <v>16</v>
      </c>
      <c r="H176" s="39" t="s">
        <v>124</v>
      </c>
      <c r="I176" s="44"/>
      <c r="J176" s="35"/>
    </row>
    <row r="177" spans="1:10" hidden="1" x14ac:dyDescent="0.25">
      <c r="A177" s="28">
        <f t="shared" si="11"/>
        <v>45762</v>
      </c>
      <c r="B177" s="29">
        <f>+B174+1</f>
        <v>45762</v>
      </c>
      <c r="C177" s="30">
        <f t="shared" si="12"/>
        <v>45762</v>
      </c>
      <c r="D177" s="36">
        <f t="shared" si="13"/>
        <v>16</v>
      </c>
      <c r="E177" s="32">
        <v>2</v>
      </c>
      <c r="F177" s="67" t="s">
        <v>15</v>
      </c>
      <c r="G177" s="43" t="s">
        <v>78</v>
      </c>
      <c r="H177" s="43" t="s">
        <v>125</v>
      </c>
      <c r="I177" s="44"/>
      <c r="J177" s="35"/>
    </row>
    <row r="178" spans="1:10" hidden="1" x14ac:dyDescent="0.25">
      <c r="A178" s="28">
        <v>45762</v>
      </c>
      <c r="B178" s="29">
        <v>45762</v>
      </c>
      <c r="C178" s="30">
        <v>45762</v>
      </c>
      <c r="D178" s="36">
        <v>16</v>
      </c>
      <c r="E178" s="32">
        <v>4.5</v>
      </c>
      <c r="F178" s="67" t="s">
        <v>15</v>
      </c>
      <c r="G178" s="43" t="s">
        <v>16</v>
      </c>
      <c r="H178" s="43" t="s">
        <v>124</v>
      </c>
      <c r="I178" s="44"/>
      <c r="J178" s="35"/>
    </row>
    <row r="179" spans="1:10" hidden="1" x14ac:dyDescent="0.25">
      <c r="A179" s="28">
        <v>45762</v>
      </c>
      <c r="B179" s="29">
        <v>45762</v>
      </c>
      <c r="C179" s="30">
        <v>45762</v>
      </c>
      <c r="D179" s="36">
        <v>16</v>
      </c>
      <c r="E179" s="32">
        <v>2</v>
      </c>
      <c r="F179" s="67" t="s">
        <v>15</v>
      </c>
      <c r="G179" s="43" t="s">
        <v>19</v>
      </c>
      <c r="H179" s="43" t="s">
        <v>126</v>
      </c>
      <c r="I179" s="44"/>
      <c r="J179" s="35"/>
    </row>
    <row r="180" spans="1:10" hidden="1" x14ac:dyDescent="0.25">
      <c r="A180" s="28">
        <f t="shared" si="11"/>
        <v>45763</v>
      </c>
      <c r="B180" s="29">
        <f>+B177+1</f>
        <v>45763</v>
      </c>
      <c r="C180" s="30">
        <f t="shared" si="12"/>
        <v>45763</v>
      </c>
      <c r="D180" s="36">
        <f t="shared" si="13"/>
        <v>16</v>
      </c>
      <c r="E180" s="37">
        <v>2.5</v>
      </c>
      <c r="F180" s="38" t="s">
        <v>15</v>
      </c>
      <c r="G180" s="39" t="s">
        <v>78</v>
      </c>
      <c r="H180" s="39" t="s">
        <v>125</v>
      </c>
      <c r="I180" s="44"/>
      <c r="J180" s="35"/>
    </row>
    <row r="181" spans="1:10" hidden="1" x14ac:dyDescent="0.25">
      <c r="A181" s="28">
        <v>45763</v>
      </c>
      <c r="B181" s="29">
        <v>45763</v>
      </c>
      <c r="C181" s="30">
        <v>45763</v>
      </c>
      <c r="D181" s="36">
        <v>16</v>
      </c>
      <c r="E181" s="37">
        <v>3</v>
      </c>
      <c r="F181" s="38" t="s">
        <v>15</v>
      </c>
      <c r="G181" s="39" t="s">
        <v>16</v>
      </c>
      <c r="H181" s="39" t="s">
        <v>124</v>
      </c>
      <c r="I181" s="44"/>
      <c r="J181" s="35"/>
    </row>
    <row r="182" spans="1:10" hidden="1" x14ac:dyDescent="0.25">
      <c r="A182" s="28">
        <v>45763</v>
      </c>
      <c r="B182" s="29">
        <v>45763</v>
      </c>
      <c r="C182" s="30">
        <v>45763</v>
      </c>
      <c r="D182" s="36">
        <v>16</v>
      </c>
      <c r="E182" s="37">
        <v>3</v>
      </c>
      <c r="F182" s="38" t="s">
        <v>15</v>
      </c>
      <c r="G182" s="39" t="s">
        <v>16</v>
      </c>
      <c r="H182" s="39" t="s">
        <v>127</v>
      </c>
      <c r="I182" s="44"/>
      <c r="J182" s="35"/>
    </row>
    <row r="183" spans="1:10" hidden="1" x14ac:dyDescent="0.25">
      <c r="A183" s="28">
        <f t="shared" si="11"/>
        <v>45764</v>
      </c>
      <c r="B183" s="29">
        <f>+B180+1</f>
        <v>45764</v>
      </c>
      <c r="C183" s="30">
        <f t="shared" si="12"/>
        <v>45764</v>
      </c>
      <c r="D183" s="36">
        <f t="shared" si="13"/>
        <v>16</v>
      </c>
      <c r="E183" s="54" t="s">
        <v>33</v>
      </c>
      <c r="F183" s="66"/>
      <c r="G183" s="56"/>
      <c r="H183" s="56"/>
      <c r="I183" s="44"/>
      <c r="J183" s="35"/>
    </row>
    <row r="184" spans="1:10" hidden="1" x14ac:dyDescent="0.25">
      <c r="A184" s="28">
        <f t="shared" si="11"/>
        <v>45765</v>
      </c>
      <c r="B184" s="29">
        <f t="shared" ref="B184:B247" si="15">+B183+1</f>
        <v>45765</v>
      </c>
      <c r="C184" s="30">
        <f t="shared" si="12"/>
        <v>45765</v>
      </c>
      <c r="D184" s="36">
        <f t="shared" si="13"/>
        <v>16</v>
      </c>
      <c r="E184" s="54" t="s">
        <v>33</v>
      </c>
      <c r="F184" s="66"/>
      <c r="G184" s="56"/>
      <c r="H184" s="56"/>
      <c r="I184" s="44"/>
      <c r="J184" s="35">
        <f>SUM(E174:E184)</f>
        <v>25.5</v>
      </c>
    </row>
    <row r="185" spans="1:10" hidden="1" x14ac:dyDescent="0.25">
      <c r="A185" s="28">
        <f t="shared" si="11"/>
        <v>45766</v>
      </c>
      <c r="B185" s="29">
        <f t="shared" si="15"/>
        <v>45766</v>
      </c>
      <c r="C185" s="30">
        <f t="shared" si="12"/>
        <v>45766</v>
      </c>
      <c r="D185" s="36">
        <f t="shared" si="13"/>
        <v>16</v>
      </c>
      <c r="E185" s="32"/>
      <c r="F185" s="67"/>
      <c r="G185" s="43"/>
      <c r="H185" s="43"/>
      <c r="I185" s="44"/>
      <c r="J185" s="35"/>
    </row>
    <row r="186" spans="1:10" hidden="1" x14ac:dyDescent="0.25">
      <c r="A186" s="28">
        <f t="shared" si="11"/>
        <v>45767</v>
      </c>
      <c r="B186" s="29">
        <f t="shared" si="15"/>
        <v>45767</v>
      </c>
      <c r="C186" s="30">
        <f t="shared" si="12"/>
        <v>45767</v>
      </c>
      <c r="D186" s="36">
        <f t="shared" si="13"/>
        <v>17</v>
      </c>
      <c r="E186" s="32"/>
      <c r="F186" s="67"/>
      <c r="G186" s="43"/>
      <c r="H186" s="43"/>
      <c r="I186" s="44"/>
      <c r="J186" s="35"/>
    </row>
    <row r="187" spans="1:10" hidden="1" x14ac:dyDescent="0.25">
      <c r="A187" s="28">
        <f t="shared" si="11"/>
        <v>45768</v>
      </c>
      <c r="B187" s="29">
        <f t="shared" si="15"/>
        <v>45768</v>
      </c>
      <c r="C187" s="30">
        <f t="shared" si="12"/>
        <v>45768</v>
      </c>
      <c r="D187" s="36">
        <f t="shared" si="13"/>
        <v>17</v>
      </c>
      <c r="E187" s="37">
        <v>8.5</v>
      </c>
      <c r="F187" s="38" t="s">
        <v>15</v>
      </c>
      <c r="G187" s="39" t="s">
        <v>78</v>
      </c>
      <c r="H187" s="39" t="s">
        <v>128</v>
      </c>
      <c r="I187" s="44"/>
      <c r="J187" s="35"/>
    </row>
    <row r="188" spans="1:10" hidden="1" x14ac:dyDescent="0.25">
      <c r="A188" s="28">
        <f t="shared" si="11"/>
        <v>45769</v>
      </c>
      <c r="B188" s="29">
        <f t="shared" si="15"/>
        <v>45769</v>
      </c>
      <c r="C188" s="30">
        <f t="shared" si="12"/>
        <v>45769</v>
      </c>
      <c r="D188" s="36">
        <f t="shared" si="13"/>
        <v>17</v>
      </c>
      <c r="E188" s="32">
        <v>1.5</v>
      </c>
      <c r="F188" s="67" t="s">
        <v>15</v>
      </c>
      <c r="G188" s="43" t="s">
        <v>16</v>
      </c>
      <c r="H188" s="43" t="s">
        <v>17</v>
      </c>
      <c r="I188" s="44"/>
      <c r="J188" s="35"/>
    </row>
    <row r="189" spans="1:10" hidden="1" x14ac:dyDescent="0.25">
      <c r="A189" s="28">
        <v>45769</v>
      </c>
      <c r="B189" s="29">
        <v>45769</v>
      </c>
      <c r="C189" s="30">
        <v>45769</v>
      </c>
      <c r="D189" s="36">
        <v>17</v>
      </c>
      <c r="E189" s="32">
        <v>7</v>
      </c>
      <c r="F189" s="67" t="s">
        <v>15</v>
      </c>
      <c r="G189" s="43" t="s">
        <v>78</v>
      </c>
      <c r="H189" s="43" t="s">
        <v>128</v>
      </c>
      <c r="I189" s="44"/>
      <c r="J189" s="35"/>
    </row>
    <row r="190" spans="1:10" hidden="1" x14ac:dyDescent="0.25">
      <c r="A190" s="28">
        <f t="shared" si="11"/>
        <v>45770</v>
      </c>
      <c r="B190" s="29">
        <f>+B188+1</f>
        <v>45770</v>
      </c>
      <c r="C190" s="30">
        <f t="shared" si="12"/>
        <v>45770</v>
      </c>
      <c r="D190" s="36">
        <f t="shared" si="13"/>
        <v>17</v>
      </c>
      <c r="E190" s="37">
        <v>1</v>
      </c>
      <c r="F190" s="38" t="s">
        <v>15</v>
      </c>
      <c r="G190" s="39" t="s">
        <v>19</v>
      </c>
      <c r="H190" s="39" t="s">
        <v>129</v>
      </c>
      <c r="I190" s="44"/>
      <c r="J190" s="35"/>
    </row>
    <row r="191" spans="1:10" hidden="1" x14ac:dyDescent="0.25">
      <c r="A191" s="28">
        <v>45770</v>
      </c>
      <c r="B191" s="29">
        <v>45770</v>
      </c>
      <c r="C191" s="30">
        <v>45770</v>
      </c>
      <c r="D191" s="36">
        <v>17</v>
      </c>
      <c r="E191" s="37">
        <v>7.5</v>
      </c>
      <c r="F191" s="38" t="s">
        <v>15</v>
      </c>
      <c r="G191" s="39" t="s">
        <v>78</v>
      </c>
      <c r="H191" s="39" t="s">
        <v>128</v>
      </c>
      <c r="I191" s="44"/>
      <c r="J191" s="35"/>
    </row>
    <row r="192" spans="1:10" hidden="1" x14ac:dyDescent="0.25">
      <c r="A192" s="28">
        <f t="shared" si="11"/>
        <v>45771</v>
      </c>
      <c r="B192" s="29">
        <f>+B190+1</f>
        <v>45771</v>
      </c>
      <c r="C192" s="30">
        <f t="shared" si="12"/>
        <v>45771</v>
      </c>
      <c r="D192" s="36">
        <f t="shared" si="13"/>
        <v>17</v>
      </c>
      <c r="E192" s="32">
        <v>1.5</v>
      </c>
      <c r="F192" s="67" t="s">
        <v>15</v>
      </c>
      <c r="G192" s="43" t="s">
        <v>16</v>
      </c>
      <c r="H192" s="43" t="s">
        <v>17</v>
      </c>
      <c r="I192" s="44"/>
      <c r="J192" s="35"/>
    </row>
    <row r="193" spans="1:10" hidden="1" x14ac:dyDescent="0.25">
      <c r="A193" s="28">
        <v>45771</v>
      </c>
      <c r="B193" s="29">
        <v>45771</v>
      </c>
      <c r="C193" s="30">
        <v>45771</v>
      </c>
      <c r="D193" s="36">
        <v>17</v>
      </c>
      <c r="E193" s="32">
        <v>7</v>
      </c>
      <c r="F193" s="67" t="s">
        <v>15</v>
      </c>
      <c r="G193" s="43" t="s">
        <v>78</v>
      </c>
      <c r="H193" s="43" t="s">
        <v>128</v>
      </c>
      <c r="I193" s="44"/>
      <c r="J193" s="35"/>
    </row>
    <row r="194" spans="1:10" hidden="1" x14ac:dyDescent="0.25">
      <c r="A194" s="28">
        <f t="shared" si="11"/>
        <v>45772</v>
      </c>
      <c r="B194" s="29">
        <f>+B192+1</f>
        <v>45772</v>
      </c>
      <c r="C194" s="30">
        <f t="shared" si="12"/>
        <v>45772</v>
      </c>
      <c r="D194" s="36">
        <f t="shared" si="13"/>
        <v>17</v>
      </c>
      <c r="E194" s="37">
        <v>6</v>
      </c>
      <c r="F194" s="38" t="s">
        <v>15</v>
      </c>
      <c r="G194" s="39" t="s">
        <v>78</v>
      </c>
      <c r="H194" s="39" t="s">
        <v>128</v>
      </c>
      <c r="I194" s="44"/>
      <c r="J194" s="35">
        <f>SUM(E187:E194)</f>
        <v>40</v>
      </c>
    </row>
    <row r="195" spans="1:10" hidden="1" x14ac:dyDescent="0.25">
      <c r="A195" s="28">
        <f t="shared" si="11"/>
        <v>45773</v>
      </c>
      <c r="B195" s="29">
        <f t="shared" si="15"/>
        <v>45773</v>
      </c>
      <c r="C195" s="30">
        <f t="shared" si="12"/>
        <v>45773</v>
      </c>
      <c r="D195" s="36">
        <f t="shared" si="13"/>
        <v>17</v>
      </c>
      <c r="E195" s="32"/>
      <c r="F195" s="67"/>
      <c r="G195" s="43"/>
      <c r="H195" s="43"/>
      <c r="I195" s="44"/>
      <c r="J195" s="35"/>
    </row>
    <row r="196" spans="1:10" hidden="1" x14ac:dyDescent="0.25">
      <c r="A196" s="28">
        <f t="shared" si="11"/>
        <v>45774</v>
      </c>
      <c r="B196" s="29">
        <f t="shared" si="15"/>
        <v>45774</v>
      </c>
      <c r="C196" s="30">
        <f t="shared" si="12"/>
        <v>45774</v>
      </c>
      <c r="D196" s="36">
        <f t="shared" si="13"/>
        <v>18</v>
      </c>
      <c r="E196" s="32"/>
      <c r="F196" s="67"/>
      <c r="G196" s="43"/>
      <c r="H196" s="43"/>
      <c r="I196" s="44"/>
      <c r="J196" s="35"/>
    </row>
    <row r="197" spans="1:10" hidden="1" x14ac:dyDescent="0.25">
      <c r="A197" s="28">
        <f t="shared" si="11"/>
        <v>45775</v>
      </c>
      <c r="B197" s="29">
        <f t="shared" si="15"/>
        <v>45775</v>
      </c>
      <c r="C197" s="30">
        <f t="shared" si="12"/>
        <v>45775</v>
      </c>
      <c r="D197" s="36">
        <f t="shared" si="13"/>
        <v>18</v>
      </c>
      <c r="E197" s="37">
        <v>1</v>
      </c>
      <c r="F197" s="38" t="s">
        <v>130</v>
      </c>
      <c r="G197" s="39" t="s">
        <v>131</v>
      </c>
      <c r="H197" s="39" t="s">
        <v>132</v>
      </c>
      <c r="I197" s="44"/>
      <c r="J197" s="35"/>
    </row>
    <row r="198" spans="1:10" hidden="1" x14ac:dyDescent="0.25">
      <c r="A198" s="28">
        <v>45775</v>
      </c>
      <c r="B198" s="29">
        <v>45775</v>
      </c>
      <c r="C198" s="30">
        <v>45775</v>
      </c>
      <c r="D198" s="36">
        <v>18</v>
      </c>
      <c r="E198" s="37">
        <v>7.5</v>
      </c>
      <c r="F198" s="38" t="s">
        <v>15</v>
      </c>
      <c r="G198" s="39" t="s">
        <v>78</v>
      </c>
      <c r="H198" s="39" t="s">
        <v>128</v>
      </c>
      <c r="I198" s="44"/>
      <c r="J198" s="35"/>
    </row>
    <row r="199" spans="1:10" hidden="1" x14ac:dyDescent="0.25">
      <c r="A199" s="28">
        <f t="shared" si="11"/>
        <v>45776</v>
      </c>
      <c r="B199" s="29">
        <f>+B197+1</f>
        <v>45776</v>
      </c>
      <c r="C199" s="30">
        <f t="shared" si="12"/>
        <v>45776</v>
      </c>
      <c r="D199" s="36">
        <f t="shared" si="13"/>
        <v>18</v>
      </c>
      <c r="E199" s="32">
        <v>1.5</v>
      </c>
      <c r="F199" s="67" t="s">
        <v>15</v>
      </c>
      <c r="G199" s="43" t="s">
        <v>16</v>
      </c>
      <c r="H199" s="43" t="s">
        <v>17</v>
      </c>
      <c r="I199" s="44"/>
      <c r="J199" s="35"/>
    </row>
    <row r="200" spans="1:10" hidden="1" x14ac:dyDescent="0.25">
      <c r="A200" s="28">
        <v>45776</v>
      </c>
      <c r="B200" s="29">
        <v>45776</v>
      </c>
      <c r="C200" s="30">
        <v>45776</v>
      </c>
      <c r="D200" s="36">
        <v>18</v>
      </c>
      <c r="E200" s="32">
        <v>3</v>
      </c>
      <c r="F200" s="67" t="s">
        <v>130</v>
      </c>
      <c r="G200" s="43" t="s">
        <v>131</v>
      </c>
      <c r="H200" s="43" t="s">
        <v>132</v>
      </c>
      <c r="I200" s="44"/>
      <c r="J200" s="35"/>
    </row>
    <row r="201" spans="1:10" hidden="1" x14ac:dyDescent="0.25">
      <c r="A201" s="28">
        <v>45776</v>
      </c>
      <c r="B201" s="29">
        <v>45776</v>
      </c>
      <c r="C201" s="30">
        <v>45776</v>
      </c>
      <c r="D201" s="36">
        <v>18</v>
      </c>
      <c r="E201" s="32">
        <v>4</v>
      </c>
      <c r="F201" s="67" t="s">
        <v>15</v>
      </c>
      <c r="G201" s="43" t="s">
        <v>78</v>
      </c>
      <c r="H201" s="43" t="s">
        <v>128</v>
      </c>
      <c r="I201" s="44"/>
      <c r="J201" s="35"/>
    </row>
    <row r="202" spans="1:10" hidden="1" x14ac:dyDescent="0.25">
      <c r="A202" s="28">
        <f t="shared" si="11"/>
        <v>45777</v>
      </c>
      <c r="B202" s="29">
        <f>+B199+1</f>
        <v>45777</v>
      </c>
      <c r="C202" s="30">
        <f t="shared" si="12"/>
        <v>45777</v>
      </c>
      <c r="D202" s="36">
        <f t="shared" si="13"/>
        <v>18</v>
      </c>
      <c r="E202" s="37">
        <v>8.5</v>
      </c>
      <c r="F202" s="38" t="s">
        <v>130</v>
      </c>
      <c r="G202" s="39" t="s">
        <v>131</v>
      </c>
      <c r="H202" s="39" t="s">
        <v>132</v>
      </c>
      <c r="I202" s="44"/>
      <c r="J202" s="35"/>
    </row>
    <row r="203" spans="1:10" hidden="1" x14ac:dyDescent="0.25">
      <c r="A203" s="28">
        <f t="shared" si="11"/>
        <v>45778</v>
      </c>
      <c r="B203" s="29">
        <f>+B202+1</f>
        <v>45778</v>
      </c>
      <c r="C203" s="30">
        <f t="shared" si="12"/>
        <v>45778</v>
      </c>
      <c r="D203" s="36">
        <f t="shared" si="13"/>
        <v>18</v>
      </c>
      <c r="E203" s="54" t="s">
        <v>33</v>
      </c>
      <c r="F203" s="66"/>
      <c r="G203" s="56"/>
      <c r="H203" s="56"/>
      <c r="I203" s="44"/>
      <c r="J203" s="35"/>
    </row>
    <row r="204" spans="1:10" hidden="1" x14ac:dyDescent="0.25">
      <c r="A204" s="28">
        <f t="shared" si="11"/>
        <v>45779</v>
      </c>
      <c r="B204" s="29">
        <f t="shared" si="15"/>
        <v>45779</v>
      </c>
      <c r="C204" s="30">
        <f t="shared" si="12"/>
        <v>45779</v>
      </c>
      <c r="D204" s="36">
        <f t="shared" si="13"/>
        <v>18</v>
      </c>
      <c r="E204" s="54" t="s">
        <v>33</v>
      </c>
      <c r="F204" s="66"/>
      <c r="G204" s="56"/>
      <c r="H204" s="56"/>
      <c r="I204" s="44"/>
      <c r="J204" s="35">
        <f>SUM(E197:E204)</f>
        <v>25.5</v>
      </c>
    </row>
    <row r="205" spans="1:10" hidden="1" x14ac:dyDescent="0.25">
      <c r="A205" s="28">
        <f t="shared" si="11"/>
        <v>45780</v>
      </c>
      <c r="B205" s="29">
        <f t="shared" si="15"/>
        <v>45780</v>
      </c>
      <c r="C205" s="30">
        <f t="shared" si="12"/>
        <v>45780</v>
      </c>
      <c r="D205" s="36">
        <f t="shared" si="13"/>
        <v>18</v>
      </c>
      <c r="E205" s="32"/>
      <c r="F205" s="67"/>
      <c r="G205" s="43"/>
      <c r="H205" s="43"/>
      <c r="I205" s="44"/>
      <c r="J205" s="35"/>
    </row>
    <row r="206" spans="1:10" hidden="1" x14ac:dyDescent="0.25">
      <c r="A206" s="28">
        <f t="shared" si="11"/>
        <v>45781</v>
      </c>
      <c r="B206" s="29">
        <f t="shared" si="15"/>
        <v>45781</v>
      </c>
      <c r="C206" s="30">
        <f t="shared" si="12"/>
        <v>45781</v>
      </c>
      <c r="D206" s="36">
        <f t="shared" si="13"/>
        <v>19</v>
      </c>
      <c r="E206" s="32"/>
      <c r="F206" s="67"/>
      <c r="G206" s="43"/>
      <c r="H206" s="43"/>
      <c r="I206" s="44"/>
      <c r="J206" s="35"/>
    </row>
    <row r="207" spans="1:10" hidden="1" x14ac:dyDescent="0.25">
      <c r="A207" s="28">
        <f t="shared" si="11"/>
        <v>45782</v>
      </c>
      <c r="B207" s="29">
        <f t="shared" si="15"/>
        <v>45782</v>
      </c>
      <c r="C207" s="30">
        <f t="shared" si="12"/>
        <v>45782</v>
      </c>
      <c r="D207" s="36">
        <f t="shared" si="13"/>
        <v>19</v>
      </c>
      <c r="E207" s="37">
        <v>8.5</v>
      </c>
      <c r="F207" s="38" t="s">
        <v>130</v>
      </c>
      <c r="G207" s="39" t="s">
        <v>131</v>
      </c>
      <c r="H207" s="39" t="s">
        <v>132</v>
      </c>
      <c r="I207" s="44"/>
      <c r="J207" s="35"/>
    </row>
    <row r="208" spans="1:10" hidden="1" x14ac:dyDescent="0.25">
      <c r="A208" s="28">
        <f t="shared" si="11"/>
        <v>45783</v>
      </c>
      <c r="B208" s="29">
        <f t="shared" si="15"/>
        <v>45783</v>
      </c>
      <c r="C208" s="30">
        <f t="shared" si="12"/>
        <v>45783</v>
      </c>
      <c r="D208" s="36">
        <f t="shared" si="13"/>
        <v>19</v>
      </c>
      <c r="E208" s="32">
        <v>4.5</v>
      </c>
      <c r="F208" s="67" t="s">
        <v>130</v>
      </c>
      <c r="G208" s="43" t="s">
        <v>131</v>
      </c>
      <c r="H208" s="43" t="s">
        <v>132</v>
      </c>
      <c r="I208" s="44"/>
      <c r="J208" s="35"/>
    </row>
    <row r="209" spans="1:10" hidden="1" x14ac:dyDescent="0.25">
      <c r="A209" s="28">
        <v>45783</v>
      </c>
      <c r="B209" s="29">
        <v>45783</v>
      </c>
      <c r="C209" s="30">
        <v>45783</v>
      </c>
      <c r="D209" s="36">
        <v>19</v>
      </c>
      <c r="E209" s="58">
        <v>0</v>
      </c>
      <c r="F209" s="68" t="s">
        <v>15</v>
      </c>
      <c r="G209" s="69" t="s">
        <v>16</v>
      </c>
      <c r="H209" s="69" t="s">
        <v>17</v>
      </c>
      <c r="I209" s="44"/>
      <c r="J209" s="35"/>
    </row>
    <row r="210" spans="1:10" hidden="1" x14ac:dyDescent="0.25">
      <c r="A210" s="28">
        <v>45783</v>
      </c>
      <c r="B210" s="29">
        <v>45783</v>
      </c>
      <c r="C210" s="30">
        <v>45783</v>
      </c>
      <c r="D210" s="36">
        <v>19</v>
      </c>
      <c r="E210" s="32">
        <v>4</v>
      </c>
      <c r="F210" s="67" t="s">
        <v>15</v>
      </c>
      <c r="G210" s="43" t="s">
        <v>16</v>
      </c>
      <c r="H210" s="43" t="s">
        <v>133</v>
      </c>
      <c r="I210" s="44"/>
      <c r="J210" s="35"/>
    </row>
    <row r="211" spans="1:10" hidden="1" x14ac:dyDescent="0.25">
      <c r="A211" s="28">
        <f t="shared" si="11"/>
        <v>45784</v>
      </c>
      <c r="B211" s="29">
        <f>+B208+1</f>
        <v>45784</v>
      </c>
      <c r="C211" s="30">
        <f t="shared" si="12"/>
        <v>45784</v>
      </c>
      <c r="D211" s="36">
        <f t="shared" si="13"/>
        <v>19</v>
      </c>
      <c r="E211" s="37">
        <v>4.5</v>
      </c>
      <c r="F211" s="38" t="s">
        <v>130</v>
      </c>
      <c r="G211" s="39" t="s">
        <v>131</v>
      </c>
      <c r="H211" s="39" t="s">
        <v>132</v>
      </c>
      <c r="I211" s="44"/>
      <c r="J211" s="35"/>
    </row>
    <row r="212" spans="1:10" hidden="1" x14ac:dyDescent="0.25">
      <c r="A212" s="28">
        <v>45784</v>
      </c>
      <c r="B212" s="29">
        <v>45784</v>
      </c>
      <c r="C212" s="30">
        <v>45784</v>
      </c>
      <c r="D212" s="36">
        <v>19</v>
      </c>
      <c r="E212" s="37">
        <v>4</v>
      </c>
      <c r="F212" s="38" t="s">
        <v>15</v>
      </c>
      <c r="G212" s="39" t="s">
        <v>16</v>
      </c>
      <c r="H212" s="39" t="s">
        <v>133</v>
      </c>
      <c r="I212" s="44"/>
      <c r="J212" s="35"/>
    </row>
    <row r="213" spans="1:10" hidden="1" x14ac:dyDescent="0.25">
      <c r="A213" s="28">
        <f t="shared" si="11"/>
        <v>45785</v>
      </c>
      <c r="B213" s="29">
        <f>+B211+1</f>
        <v>45785</v>
      </c>
      <c r="C213" s="30">
        <f t="shared" si="12"/>
        <v>45785</v>
      </c>
      <c r="D213" s="36">
        <f t="shared" si="13"/>
        <v>19</v>
      </c>
      <c r="E213" s="32">
        <v>8.5</v>
      </c>
      <c r="F213" s="67" t="s">
        <v>130</v>
      </c>
      <c r="G213" s="43" t="s">
        <v>131</v>
      </c>
      <c r="H213" s="43" t="s">
        <v>132</v>
      </c>
      <c r="I213" s="44"/>
      <c r="J213" s="35"/>
    </row>
    <row r="214" spans="1:10" hidden="1" x14ac:dyDescent="0.25">
      <c r="A214" s="28">
        <v>45785</v>
      </c>
      <c r="B214" s="29">
        <v>45785</v>
      </c>
      <c r="C214" s="30">
        <v>45785</v>
      </c>
      <c r="D214" s="36">
        <v>19</v>
      </c>
      <c r="E214" s="58">
        <v>0</v>
      </c>
      <c r="F214" s="68" t="s">
        <v>15</v>
      </c>
      <c r="G214" s="69" t="s">
        <v>16</v>
      </c>
      <c r="H214" s="69" t="s">
        <v>17</v>
      </c>
      <c r="I214" s="44"/>
      <c r="J214" s="35"/>
    </row>
    <row r="215" spans="1:10" hidden="1" x14ac:dyDescent="0.25">
      <c r="A215" s="28">
        <f t="shared" si="11"/>
        <v>45786</v>
      </c>
      <c r="B215" s="29">
        <f>+B213+1</f>
        <v>45786</v>
      </c>
      <c r="C215" s="30">
        <f t="shared" si="12"/>
        <v>45786</v>
      </c>
      <c r="D215" s="36">
        <f t="shared" si="13"/>
        <v>19</v>
      </c>
      <c r="E215" s="37">
        <v>6</v>
      </c>
      <c r="F215" s="38" t="s">
        <v>130</v>
      </c>
      <c r="G215" s="39" t="s">
        <v>131</v>
      </c>
      <c r="H215" s="39" t="s">
        <v>132</v>
      </c>
      <c r="I215" s="44"/>
      <c r="J215" s="35">
        <f>SUM(E207:E215)</f>
        <v>40</v>
      </c>
    </row>
    <row r="216" spans="1:10" hidden="1" x14ac:dyDescent="0.25">
      <c r="A216" s="28">
        <f t="shared" si="11"/>
        <v>45787</v>
      </c>
      <c r="B216" s="29">
        <f t="shared" si="15"/>
        <v>45787</v>
      </c>
      <c r="C216" s="30">
        <f t="shared" si="12"/>
        <v>45787</v>
      </c>
      <c r="D216" s="36">
        <f t="shared" si="13"/>
        <v>19</v>
      </c>
      <c r="E216" s="32"/>
      <c r="F216" s="67"/>
      <c r="G216" s="43"/>
      <c r="H216" s="43"/>
      <c r="I216" s="44"/>
      <c r="J216" s="35"/>
    </row>
    <row r="217" spans="1:10" hidden="1" x14ac:dyDescent="0.25">
      <c r="A217" s="28">
        <f t="shared" ref="A217:A287" si="16">B217</f>
        <v>45788</v>
      </c>
      <c r="B217" s="29">
        <f t="shared" si="15"/>
        <v>45788</v>
      </c>
      <c r="C217" s="30">
        <f t="shared" ref="C217:C287" si="17">B217</f>
        <v>45788</v>
      </c>
      <c r="D217" s="36">
        <f t="shared" ref="D217:D287" si="18">WEEKNUM(A217)</f>
        <v>20</v>
      </c>
      <c r="E217" s="32"/>
      <c r="F217" s="67"/>
      <c r="G217" s="43"/>
      <c r="H217" s="43"/>
      <c r="I217" s="44"/>
      <c r="J217" s="35"/>
    </row>
    <row r="218" spans="1:10" hidden="1" x14ac:dyDescent="0.25">
      <c r="A218" s="28">
        <f t="shared" si="16"/>
        <v>45789</v>
      </c>
      <c r="B218" s="29">
        <f t="shared" si="15"/>
        <v>45789</v>
      </c>
      <c r="C218" s="30">
        <f t="shared" si="17"/>
        <v>45789</v>
      </c>
      <c r="D218" s="36">
        <f t="shared" si="18"/>
        <v>20</v>
      </c>
      <c r="E218" s="37">
        <v>8.5</v>
      </c>
      <c r="F218" s="38" t="s">
        <v>130</v>
      </c>
      <c r="G218" s="39" t="s">
        <v>131</v>
      </c>
      <c r="H218" s="39" t="s">
        <v>132</v>
      </c>
      <c r="I218" s="44"/>
      <c r="J218" s="35"/>
    </row>
    <row r="219" spans="1:10" hidden="1" x14ac:dyDescent="0.25">
      <c r="A219" s="28">
        <f t="shared" si="16"/>
        <v>45790</v>
      </c>
      <c r="B219" s="29">
        <f t="shared" si="15"/>
        <v>45790</v>
      </c>
      <c r="C219" s="30">
        <f t="shared" si="17"/>
        <v>45790</v>
      </c>
      <c r="D219" s="36">
        <f t="shared" si="18"/>
        <v>20</v>
      </c>
      <c r="E219" s="32">
        <v>1.5</v>
      </c>
      <c r="F219" s="67" t="s">
        <v>15</v>
      </c>
      <c r="G219" s="43" t="s">
        <v>16</v>
      </c>
      <c r="H219" s="43" t="s">
        <v>17</v>
      </c>
      <c r="I219" s="44"/>
      <c r="J219" s="35"/>
    </row>
    <row r="220" spans="1:10" hidden="1" x14ac:dyDescent="0.25">
      <c r="A220" s="28">
        <v>45790</v>
      </c>
      <c r="B220" s="29">
        <v>45790</v>
      </c>
      <c r="C220" s="30">
        <v>45790</v>
      </c>
      <c r="D220" s="36">
        <v>20</v>
      </c>
      <c r="E220" s="32">
        <v>7</v>
      </c>
      <c r="F220" s="67" t="s">
        <v>130</v>
      </c>
      <c r="G220" s="43" t="s">
        <v>131</v>
      </c>
      <c r="H220" s="43" t="s">
        <v>132</v>
      </c>
      <c r="I220" s="44"/>
      <c r="J220" s="35"/>
    </row>
    <row r="221" spans="1:10" hidden="1" x14ac:dyDescent="0.25">
      <c r="A221" s="28">
        <f t="shared" si="16"/>
        <v>45791</v>
      </c>
      <c r="B221" s="29">
        <f>+B219+1</f>
        <v>45791</v>
      </c>
      <c r="C221" s="30">
        <f t="shared" si="17"/>
        <v>45791</v>
      </c>
      <c r="D221" s="36">
        <f t="shared" si="18"/>
        <v>20</v>
      </c>
      <c r="E221" s="37">
        <v>1.5</v>
      </c>
      <c r="F221" s="38" t="s">
        <v>15</v>
      </c>
      <c r="G221" s="39" t="s">
        <v>19</v>
      </c>
      <c r="H221" s="39" t="s">
        <v>134</v>
      </c>
      <c r="I221" s="44"/>
      <c r="J221" s="35"/>
    </row>
    <row r="222" spans="1:10" hidden="1" x14ac:dyDescent="0.25">
      <c r="A222" s="28">
        <v>45791</v>
      </c>
      <c r="B222" s="29">
        <v>45791</v>
      </c>
      <c r="C222" s="30">
        <v>45791</v>
      </c>
      <c r="D222" s="36">
        <v>20</v>
      </c>
      <c r="E222" s="32">
        <v>7</v>
      </c>
      <c r="F222" s="67" t="s">
        <v>130</v>
      </c>
      <c r="G222" s="43" t="s">
        <v>131</v>
      </c>
      <c r="H222" s="43" t="s">
        <v>132</v>
      </c>
      <c r="I222" s="44"/>
      <c r="J222" s="35"/>
    </row>
    <row r="223" spans="1:10" hidden="1" x14ac:dyDescent="0.25">
      <c r="A223" s="28">
        <f t="shared" si="16"/>
        <v>45792</v>
      </c>
      <c r="B223" s="29">
        <f>+B221+1</f>
        <v>45792</v>
      </c>
      <c r="C223" s="30">
        <f t="shared" si="17"/>
        <v>45792</v>
      </c>
      <c r="D223" s="36">
        <f t="shared" si="18"/>
        <v>20</v>
      </c>
      <c r="E223" s="54" t="s">
        <v>33</v>
      </c>
      <c r="F223" s="66"/>
      <c r="G223" s="56"/>
      <c r="H223" s="56"/>
      <c r="I223" s="44"/>
      <c r="J223" s="35"/>
    </row>
    <row r="224" spans="1:10" hidden="1" x14ac:dyDescent="0.25">
      <c r="A224" s="28">
        <f t="shared" si="16"/>
        <v>45793</v>
      </c>
      <c r="B224" s="29">
        <f t="shared" si="15"/>
        <v>45793</v>
      </c>
      <c r="C224" s="30">
        <f t="shared" si="17"/>
        <v>45793</v>
      </c>
      <c r="D224" s="36">
        <f t="shared" si="18"/>
        <v>20</v>
      </c>
      <c r="E224" s="37">
        <v>6</v>
      </c>
      <c r="F224" s="38" t="s">
        <v>130</v>
      </c>
      <c r="G224" s="39" t="s">
        <v>131</v>
      </c>
      <c r="H224" s="39" t="s">
        <v>132</v>
      </c>
      <c r="I224" s="44"/>
      <c r="J224" s="35">
        <f>SUM(E218:E224)</f>
        <v>31.5</v>
      </c>
    </row>
    <row r="225" spans="1:10" hidden="1" x14ac:dyDescent="0.25">
      <c r="A225" s="28">
        <f t="shared" si="16"/>
        <v>45794</v>
      </c>
      <c r="B225" s="29">
        <f t="shared" si="15"/>
        <v>45794</v>
      </c>
      <c r="C225" s="30">
        <f t="shared" si="17"/>
        <v>45794</v>
      </c>
      <c r="D225" s="36">
        <f t="shared" si="18"/>
        <v>20</v>
      </c>
      <c r="E225" s="32"/>
      <c r="F225" s="67"/>
      <c r="G225" s="43"/>
      <c r="H225" s="43"/>
      <c r="I225" s="44"/>
      <c r="J225" s="35"/>
    </row>
    <row r="226" spans="1:10" hidden="1" x14ac:dyDescent="0.25">
      <c r="A226" s="28">
        <f t="shared" si="16"/>
        <v>45795</v>
      </c>
      <c r="B226" s="29">
        <f t="shared" si="15"/>
        <v>45795</v>
      </c>
      <c r="C226" s="30">
        <f t="shared" si="17"/>
        <v>45795</v>
      </c>
      <c r="D226" s="36">
        <f t="shared" si="18"/>
        <v>21</v>
      </c>
      <c r="E226" s="32"/>
      <c r="F226" s="67"/>
      <c r="G226" s="43"/>
      <c r="H226" s="43"/>
      <c r="I226" s="44"/>
      <c r="J226" s="35"/>
    </row>
    <row r="227" spans="1:10" hidden="1" x14ac:dyDescent="0.25">
      <c r="A227" s="28">
        <f t="shared" si="16"/>
        <v>45796</v>
      </c>
      <c r="B227" s="29">
        <f t="shared" si="15"/>
        <v>45796</v>
      </c>
      <c r="C227" s="30">
        <f t="shared" si="17"/>
        <v>45796</v>
      </c>
      <c r="D227" s="36">
        <f t="shared" si="18"/>
        <v>21</v>
      </c>
      <c r="E227" s="37">
        <v>8.5</v>
      </c>
      <c r="F227" s="38" t="s">
        <v>130</v>
      </c>
      <c r="G227" s="39" t="s">
        <v>131</v>
      </c>
      <c r="H227" s="39" t="s">
        <v>135</v>
      </c>
      <c r="I227" s="44"/>
      <c r="J227" s="35"/>
    </row>
    <row r="228" spans="1:10" hidden="1" x14ac:dyDescent="0.25">
      <c r="A228" s="28">
        <f t="shared" si="16"/>
        <v>45797</v>
      </c>
      <c r="B228" s="29">
        <f t="shared" si="15"/>
        <v>45797</v>
      </c>
      <c r="C228" s="30">
        <f t="shared" si="17"/>
        <v>45797</v>
      </c>
      <c r="D228" s="36">
        <f t="shared" si="18"/>
        <v>21</v>
      </c>
      <c r="E228" s="32">
        <v>7</v>
      </c>
      <c r="F228" s="67" t="s">
        <v>130</v>
      </c>
      <c r="G228" s="43" t="s">
        <v>131</v>
      </c>
      <c r="H228" s="43" t="s">
        <v>135</v>
      </c>
      <c r="I228" s="44"/>
      <c r="J228" s="35"/>
    </row>
    <row r="229" spans="1:10" hidden="1" x14ac:dyDescent="0.25">
      <c r="A229" s="28">
        <v>45797</v>
      </c>
      <c r="B229" s="29">
        <v>45797</v>
      </c>
      <c r="C229" s="30">
        <v>45797</v>
      </c>
      <c r="D229" s="36">
        <v>21</v>
      </c>
      <c r="E229" s="32">
        <v>1.5</v>
      </c>
      <c r="F229" s="67" t="s">
        <v>15</v>
      </c>
      <c r="G229" s="43" t="s">
        <v>16</v>
      </c>
      <c r="H229" s="43" t="s">
        <v>17</v>
      </c>
      <c r="I229" s="44"/>
      <c r="J229" s="35"/>
    </row>
    <row r="230" spans="1:10" hidden="1" x14ac:dyDescent="0.25">
      <c r="A230" s="28">
        <f t="shared" si="16"/>
        <v>45798</v>
      </c>
      <c r="B230" s="29">
        <f>+B228+1</f>
        <v>45798</v>
      </c>
      <c r="C230" s="30">
        <f t="shared" si="17"/>
        <v>45798</v>
      </c>
      <c r="D230" s="36">
        <f t="shared" si="18"/>
        <v>21</v>
      </c>
      <c r="E230" s="37">
        <v>8.5</v>
      </c>
      <c r="F230" s="38" t="s">
        <v>130</v>
      </c>
      <c r="G230" s="39" t="s">
        <v>131</v>
      </c>
      <c r="H230" s="39" t="s">
        <v>135</v>
      </c>
      <c r="I230" s="44"/>
      <c r="J230" s="35"/>
    </row>
    <row r="231" spans="1:10" hidden="1" x14ac:dyDescent="0.25">
      <c r="A231" s="28">
        <f t="shared" si="16"/>
        <v>45799</v>
      </c>
      <c r="B231" s="29">
        <f t="shared" si="15"/>
        <v>45799</v>
      </c>
      <c r="C231" s="30">
        <f t="shared" si="17"/>
        <v>45799</v>
      </c>
      <c r="D231" s="36">
        <f t="shared" si="18"/>
        <v>21</v>
      </c>
      <c r="E231" s="32">
        <v>1.5</v>
      </c>
      <c r="F231" s="67" t="s">
        <v>130</v>
      </c>
      <c r="G231" s="43" t="s">
        <v>131</v>
      </c>
      <c r="H231" s="43" t="s">
        <v>135</v>
      </c>
      <c r="I231" s="44"/>
      <c r="J231" s="35"/>
    </row>
    <row r="232" spans="1:10" x14ac:dyDescent="0.25">
      <c r="A232" s="28">
        <v>45799</v>
      </c>
      <c r="B232" s="29">
        <v>45799</v>
      </c>
      <c r="C232" s="30">
        <v>45799</v>
      </c>
      <c r="D232" s="36">
        <v>21</v>
      </c>
      <c r="E232" s="32">
        <v>7</v>
      </c>
      <c r="F232" s="67" t="s">
        <v>34</v>
      </c>
      <c r="G232" s="43" t="s">
        <v>35</v>
      </c>
      <c r="H232" s="43" t="s">
        <v>136</v>
      </c>
      <c r="I232" s="44"/>
      <c r="J232" s="35"/>
    </row>
    <row r="233" spans="1:10" hidden="1" x14ac:dyDescent="0.25">
      <c r="A233" s="28">
        <f t="shared" si="16"/>
        <v>45800</v>
      </c>
      <c r="B233" s="29">
        <f>+B231+1</f>
        <v>45800</v>
      </c>
      <c r="C233" s="30">
        <f t="shared" si="17"/>
        <v>45800</v>
      </c>
      <c r="D233" s="36">
        <f t="shared" si="18"/>
        <v>21</v>
      </c>
      <c r="E233" s="37">
        <v>6</v>
      </c>
      <c r="F233" s="38" t="s">
        <v>130</v>
      </c>
      <c r="G233" s="39" t="s">
        <v>131</v>
      </c>
      <c r="H233" s="39" t="s">
        <v>135</v>
      </c>
      <c r="I233" s="44"/>
      <c r="J233" s="35">
        <f>SUM(E227:E233)</f>
        <v>40</v>
      </c>
    </row>
    <row r="234" spans="1:10" hidden="1" x14ac:dyDescent="0.25">
      <c r="A234" s="28">
        <f t="shared" si="16"/>
        <v>45801</v>
      </c>
      <c r="B234" s="29">
        <f t="shared" si="15"/>
        <v>45801</v>
      </c>
      <c r="C234" s="30">
        <f t="shared" si="17"/>
        <v>45801</v>
      </c>
      <c r="D234" s="36">
        <f t="shared" si="18"/>
        <v>21</v>
      </c>
      <c r="E234" s="32"/>
      <c r="F234" s="67"/>
      <c r="G234" s="43"/>
      <c r="H234" s="43"/>
      <c r="I234" s="44"/>
      <c r="J234" s="35"/>
    </row>
    <row r="235" spans="1:10" hidden="1" x14ac:dyDescent="0.25">
      <c r="A235" s="28">
        <f t="shared" si="16"/>
        <v>45802</v>
      </c>
      <c r="B235" s="29">
        <f t="shared" si="15"/>
        <v>45802</v>
      </c>
      <c r="C235" s="30">
        <f t="shared" si="17"/>
        <v>45802</v>
      </c>
      <c r="D235" s="36">
        <f t="shared" si="18"/>
        <v>22</v>
      </c>
      <c r="E235" s="32"/>
      <c r="F235" s="67"/>
      <c r="G235" s="43"/>
      <c r="H235" s="43"/>
      <c r="I235" s="44"/>
      <c r="J235" s="35"/>
    </row>
    <row r="236" spans="1:10" hidden="1" x14ac:dyDescent="0.25">
      <c r="A236" s="28">
        <f t="shared" si="16"/>
        <v>45803</v>
      </c>
      <c r="B236" s="29">
        <f t="shared" si="15"/>
        <v>45803</v>
      </c>
      <c r="C236" s="30">
        <f t="shared" si="17"/>
        <v>45803</v>
      </c>
      <c r="D236" s="36">
        <f t="shared" si="18"/>
        <v>22</v>
      </c>
      <c r="E236" s="37">
        <v>8.5</v>
      </c>
      <c r="F236" s="38" t="s">
        <v>130</v>
      </c>
      <c r="G236" s="39" t="s">
        <v>131</v>
      </c>
      <c r="H236" s="39" t="s">
        <v>135</v>
      </c>
      <c r="I236" s="44"/>
      <c r="J236" s="35"/>
    </row>
    <row r="237" spans="1:10" hidden="1" x14ac:dyDescent="0.25">
      <c r="A237" s="28">
        <f t="shared" si="16"/>
        <v>45804</v>
      </c>
      <c r="B237" s="29">
        <f t="shared" si="15"/>
        <v>45804</v>
      </c>
      <c r="C237" s="30">
        <f t="shared" si="17"/>
        <v>45804</v>
      </c>
      <c r="D237" s="36">
        <f t="shared" si="18"/>
        <v>22</v>
      </c>
      <c r="E237" s="32">
        <v>8.5</v>
      </c>
      <c r="F237" s="67" t="s">
        <v>130</v>
      </c>
      <c r="G237" s="43" t="s">
        <v>131</v>
      </c>
      <c r="H237" s="43" t="s">
        <v>132</v>
      </c>
      <c r="I237" s="44"/>
      <c r="J237" s="35"/>
    </row>
    <row r="238" spans="1:10" hidden="1" x14ac:dyDescent="0.25">
      <c r="A238" s="28">
        <f t="shared" si="16"/>
        <v>45805</v>
      </c>
      <c r="B238" s="29">
        <f t="shared" si="15"/>
        <v>45805</v>
      </c>
      <c r="C238" s="30">
        <f t="shared" si="17"/>
        <v>45805</v>
      </c>
      <c r="D238" s="36">
        <f t="shared" si="18"/>
        <v>22</v>
      </c>
      <c r="E238" s="37">
        <v>8.5</v>
      </c>
      <c r="F238" s="38" t="s">
        <v>130</v>
      </c>
      <c r="G238" s="39" t="s">
        <v>131</v>
      </c>
      <c r="H238" s="39" t="s">
        <v>132</v>
      </c>
      <c r="I238" s="44"/>
      <c r="J238" s="35"/>
    </row>
    <row r="239" spans="1:10" hidden="1" x14ac:dyDescent="0.25">
      <c r="A239" s="28">
        <f t="shared" si="16"/>
        <v>45806</v>
      </c>
      <c r="B239" s="29">
        <f t="shared" si="15"/>
        <v>45806</v>
      </c>
      <c r="C239" s="30">
        <f t="shared" si="17"/>
        <v>45806</v>
      </c>
      <c r="D239" s="36">
        <f t="shared" si="18"/>
        <v>22</v>
      </c>
      <c r="E239" s="32">
        <v>8.5</v>
      </c>
      <c r="F239" s="67" t="s">
        <v>130</v>
      </c>
      <c r="G239" s="43" t="s">
        <v>131</v>
      </c>
      <c r="H239" s="43" t="s">
        <v>132</v>
      </c>
      <c r="I239" s="44"/>
      <c r="J239" s="35"/>
    </row>
    <row r="240" spans="1:10" hidden="1" x14ac:dyDescent="0.25">
      <c r="A240" s="28">
        <f t="shared" si="16"/>
        <v>45807</v>
      </c>
      <c r="B240" s="29">
        <f t="shared" si="15"/>
        <v>45807</v>
      </c>
      <c r="C240" s="30">
        <f t="shared" si="17"/>
        <v>45807</v>
      </c>
      <c r="D240" s="36">
        <f t="shared" si="18"/>
        <v>22</v>
      </c>
      <c r="E240" s="37">
        <v>6</v>
      </c>
      <c r="F240" s="38" t="s">
        <v>130</v>
      </c>
      <c r="G240" s="39" t="s">
        <v>131</v>
      </c>
      <c r="H240" s="39" t="s">
        <v>132</v>
      </c>
      <c r="I240" s="44"/>
      <c r="J240" s="35">
        <f>SUM(E236:E240)</f>
        <v>40</v>
      </c>
    </row>
    <row r="241" spans="1:10" hidden="1" x14ac:dyDescent="0.25">
      <c r="A241" s="28">
        <f t="shared" si="16"/>
        <v>45808</v>
      </c>
      <c r="B241" s="29">
        <f t="shared" si="15"/>
        <v>45808</v>
      </c>
      <c r="C241" s="30">
        <f t="shared" si="17"/>
        <v>45808</v>
      </c>
      <c r="D241" s="36">
        <f t="shared" si="18"/>
        <v>22</v>
      </c>
      <c r="E241" s="32"/>
      <c r="F241" s="67"/>
      <c r="G241" s="43"/>
      <c r="H241" s="43"/>
      <c r="I241" s="44"/>
      <c r="J241" s="35"/>
    </row>
    <row r="242" spans="1:10" hidden="1" x14ac:dyDescent="0.25">
      <c r="A242" s="28">
        <f t="shared" si="16"/>
        <v>45809</v>
      </c>
      <c r="B242" s="29">
        <f t="shared" si="15"/>
        <v>45809</v>
      </c>
      <c r="C242" s="30">
        <f t="shared" si="17"/>
        <v>45809</v>
      </c>
      <c r="D242" s="36">
        <f t="shared" si="18"/>
        <v>23</v>
      </c>
      <c r="E242" s="32"/>
      <c r="F242" s="67"/>
      <c r="G242" s="43"/>
      <c r="H242" s="43"/>
      <c r="I242" s="44"/>
      <c r="J242" s="35"/>
    </row>
    <row r="243" spans="1:10" hidden="1" x14ac:dyDescent="0.25">
      <c r="A243" s="28">
        <f t="shared" si="16"/>
        <v>45810</v>
      </c>
      <c r="B243" s="29">
        <f t="shared" si="15"/>
        <v>45810</v>
      </c>
      <c r="C243" s="30">
        <f t="shared" si="17"/>
        <v>45810</v>
      </c>
      <c r="D243" s="36">
        <f t="shared" si="18"/>
        <v>23</v>
      </c>
      <c r="E243" s="37">
        <v>8.5</v>
      </c>
      <c r="F243" s="38" t="s">
        <v>130</v>
      </c>
      <c r="G243" s="39" t="s">
        <v>131</v>
      </c>
      <c r="H243" s="39" t="s">
        <v>132</v>
      </c>
      <c r="I243" s="44"/>
      <c r="J243" s="35"/>
    </row>
    <row r="244" spans="1:10" hidden="1" x14ac:dyDescent="0.25">
      <c r="A244" s="28">
        <f t="shared" si="16"/>
        <v>45811</v>
      </c>
      <c r="B244" s="29">
        <f t="shared" si="15"/>
        <v>45811</v>
      </c>
      <c r="C244" s="30">
        <f t="shared" si="17"/>
        <v>45811</v>
      </c>
      <c r="D244" s="36">
        <f t="shared" si="18"/>
        <v>23</v>
      </c>
      <c r="E244" s="32">
        <v>8.5</v>
      </c>
      <c r="F244" s="67" t="s">
        <v>130</v>
      </c>
      <c r="G244" s="43" t="s">
        <v>137</v>
      </c>
      <c r="H244" s="43" t="s">
        <v>138</v>
      </c>
      <c r="I244" s="44"/>
      <c r="J244" s="35"/>
    </row>
    <row r="245" spans="1:10" hidden="1" x14ac:dyDescent="0.25">
      <c r="A245" s="28">
        <f t="shared" si="16"/>
        <v>45812</v>
      </c>
      <c r="B245" s="29">
        <f t="shared" si="15"/>
        <v>45812</v>
      </c>
      <c r="C245" s="30">
        <f t="shared" si="17"/>
        <v>45812</v>
      </c>
      <c r="D245" s="36">
        <f t="shared" si="18"/>
        <v>23</v>
      </c>
      <c r="E245" s="37">
        <v>8.5</v>
      </c>
      <c r="F245" s="38" t="s">
        <v>130</v>
      </c>
      <c r="G245" s="39" t="s">
        <v>137</v>
      </c>
      <c r="H245" s="39" t="s">
        <v>138</v>
      </c>
      <c r="I245" s="44"/>
      <c r="J245" s="35"/>
    </row>
    <row r="246" spans="1:10" hidden="1" x14ac:dyDescent="0.25">
      <c r="A246" s="28">
        <f t="shared" si="16"/>
        <v>45813</v>
      </c>
      <c r="B246" s="29">
        <f t="shared" si="15"/>
        <v>45813</v>
      </c>
      <c r="C246" s="30">
        <f t="shared" si="17"/>
        <v>45813</v>
      </c>
      <c r="D246" s="36">
        <f t="shared" si="18"/>
        <v>23</v>
      </c>
      <c r="E246" s="32">
        <v>8.5</v>
      </c>
      <c r="F246" s="67" t="s">
        <v>130</v>
      </c>
      <c r="G246" s="43" t="s">
        <v>137</v>
      </c>
      <c r="H246" s="43" t="s">
        <v>138</v>
      </c>
      <c r="I246" s="44"/>
      <c r="J246" s="35"/>
    </row>
    <row r="247" spans="1:10" hidden="1" x14ac:dyDescent="0.25">
      <c r="A247" s="28">
        <f t="shared" si="16"/>
        <v>45814</v>
      </c>
      <c r="B247" s="29">
        <f t="shared" si="15"/>
        <v>45814</v>
      </c>
      <c r="C247" s="30">
        <f t="shared" si="17"/>
        <v>45814</v>
      </c>
      <c r="D247" s="36">
        <f t="shared" si="18"/>
        <v>23</v>
      </c>
      <c r="E247" s="37">
        <v>6</v>
      </c>
      <c r="F247" s="38" t="s">
        <v>130</v>
      </c>
      <c r="G247" s="39" t="s">
        <v>137</v>
      </c>
      <c r="H247" s="39" t="s">
        <v>138</v>
      </c>
      <c r="I247" s="44"/>
      <c r="J247" s="35">
        <f>SUM(E243:E247)</f>
        <v>40</v>
      </c>
    </row>
    <row r="248" spans="1:10" hidden="1" x14ac:dyDescent="0.25">
      <c r="A248" s="28">
        <f t="shared" si="16"/>
        <v>45815</v>
      </c>
      <c r="B248" s="29">
        <f t="shared" ref="B248:B311" si="19">+B247+1</f>
        <v>45815</v>
      </c>
      <c r="C248" s="30">
        <f t="shared" si="17"/>
        <v>45815</v>
      </c>
      <c r="D248" s="36">
        <f t="shared" si="18"/>
        <v>23</v>
      </c>
      <c r="E248" s="32"/>
      <c r="F248" s="67"/>
      <c r="G248" s="43"/>
      <c r="H248" s="43"/>
      <c r="I248" s="44"/>
      <c r="J248" s="35"/>
    </row>
    <row r="249" spans="1:10" hidden="1" x14ac:dyDescent="0.25">
      <c r="A249" s="28">
        <f t="shared" si="16"/>
        <v>45816</v>
      </c>
      <c r="B249" s="29">
        <f t="shared" si="19"/>
        <v>45816</v>
      </c>
      <c r="C249" s="30">
        <f t="shared" si="17"/>
        <v>45816</v>
      </c>
      <c r="D249" s="36">
        <f t="shared" si="18"/>
        <v>24</v>
      </c>
      <c r="E249" s="32"/>
      <c r="F249" s="67"/>
      <c r="G249" s="43"/>
      <c r="H249" s="43"/>
      <c r="I249" s="44"/>
      <c r="J249" s="35"/>
    </row>
    <row r="250" spans="1:10" hidden="1" x14ac:dyDescent="0.25">
      <c r="A250" s="28">
        <f t="shared" si="16"/>
        <v>45817</v>
      </c>
      <c r="B250" s="29">
        <f t="shared" si="19"/>
        <v>45817</v>
      </c>
      <c r="C250" s="30">
        <f t="shared" si="17"/>
        <v>45817</v>
      </c>
      <c r="D250" s="36">
        <f t="shared" si="18"/>
        <v>24</v>
      </c>
      <c r="E250" s="37">
        <v>8.5</v>
      </c>
      <c r="F250" s="38" t="s">
        <v>130</v>
      </c>
      <c r="G250" s="39" t="s">
        <v>137</v>
      </c>
      <c r="H250" s="39" t="s">
        <v>138</v>
      </c>
      <c r="I250" s="44"/>
      <c r="J250" s="35"/>
    </row>
    <row r="251" spans="1:10" hidden="1" x14ac:dyDescent="0.25">
      <c r="A251" s="28">
        <f t="shared" si="16"/>
        <v>45818</v>
      </c>
      <c r="B251" s="29">
        <f t="shared" si="19"/>
        <v>45818</v>
      </c>
      <c r="C251" s="30">
        <f t="shared" si="17"/>
        <v>45818</v>
      </c>
      <c r="D251" s="36">
        <f t="shared" si="18"/>
        <v>24</v>
      </c>
      <c r="E251" s="32">
        <v>3</v>
      </c>
      <c r="F251" s="67" t="s">
        <v>130</v>
      </c>
      <c r="G251" s="43" t="s">
        <v>137</v>
      </c>
      <c r="H251" s="43" t="s">
        <v>138</v>
      </c>
      <c r="I251" s="44"/>
      <c r="J251" s="35"/>
    </row>
    <row r="252" spans="1:10" hidden="1" x14ac:dyDescent="0.25">
      <c r="A252" s="28">
        <v>45818</v>
      </c>
      <c r="B252" s="29">
        <v>45818</v>
      </c>
      <c r="C252" s="30">
        <v>45818</v>
      </c>
      <c r="D252" s="36">
        <v>24</v>
      </c>
      <c r="E252" s="32">
        <v>5.5</v>
      </c>
      <c r="F252" s="67" t="s">
        <v>130</v>
      </c>
      <c r="G252" s="43" t="s">
        <v>137</v>
      </c>
      <c r="H252" s="43" t="s">
        <v>139</v>
      </c>
      <c r="I252" s="44"/>
      <c r="J252" s="35"/>
    </row>
    <row r="253" spans="1:10" hidden="1" x14ac:dyDescent="0.25">
      <c r="A253" s="28">
        <f t="shared" si="16"/>
        <v>45819</v>
      </c>
      <c r="B253" s="29">
        <f>+B251+1</f>
        <v>45819</v>
      </c>
      <c r="C253" s="30">
        <f t="shared" si="17"/>
        <v>45819</v>
      </c>
      <c r="D253" s="36">
        <f t="shared" si="18"/>
        <v>24</v>
      </c>
      <c r="E253" s="37">
        <v>8.5</v>
      </c>
      <c r="F253" s="38" t="s">
        <v>130</v>
      </c>
      <c r="G253" s="39" t="s">
        <v>137</v>
      </c>
      <c r="H253" s="39" t="s">
        <v>139</v>
      </c>
      <c r="I253" s="44"/>
      <c r="J253" s="35"/>
    </row>
    <row r="254" spans="1:10" hidden="1" x14ac:dyDescent="0.25">
      <c r="A254" s="28">
        <f t="shared" si="16"/>
        <v>45820</v>
      </c>
      <c r="B254" s="29">
        <f t="shared" si="19"/>
        <v>45820</v>
      </c>
      <c r="C254" s="30">
        <f t="shared" si="17"/>
        <v>45820</v>
      </c>
      <c r="D254" s="36">
        <f t="shared" si="18"/>
        <v>24</v>
      </c>
      <c r="E254" s="32">
        <v>8.5</v>
      </c>
      <c r="F254" s="67" t="s">
        <v>130</v>
      </c>
      <c r="G254" s="43" t="s">
        <v>137</v>
      </c>
      <c r="H254" s="43" t="s">
        <v>139</v>
      </c>
      <c r="I254" s="44"/>
      <c r="J254" s="35"/>
    </row>
    <row r="255" spans="1:10" hidden="1" x14ac:dyDescent="0.25">
      <c r="A255" s="28">
        <f t="shared" si="16"/>
        <v>45821</v>
      </c>
      <c r="B255" s="29">
        <f t="shared" si="19"/>
        <v>45821</v>
      </c>
      <c r="C255" s="30">
        <f t="shared" si="17"/>
        <v>45821</v>
      </c>
      <c r="D255" s="36">
        <f t="shared" si="18"/>
        <v>24</v>
      </c>
      <c r="E255" s="37">
        <v>6</v>
      </c>
      <c r="F255" s="38" t="s">
        <v>130</v>
      </c>
      <c r="G255" s="39" t="s">
        <v>137</v>
      </c>
      <c r="H255" s="39" t="s">
        <v>138</v>
      </c>
      <c r="I255" s="44"/>
      <c r="J255" s="35">
        <f>SUM(E250:E255)</f>
        <v>40</v>
      </c>
    </row>
    <row r="256" spans="1:10" hidden="1" x14ac:dyDescent="0.25">
      <c r="A256" s="28">
        <f t="shared" si="16"/>
        <v>45822</v>
      </c>
      <c r="B256" s="29">
        <f t="shared" si="19"/>
        <v>45822</v>
      </c>
      <c r="C256" s="30">
        <f t="shared" si="17"/>
        <v>45822</v>
      </c>
      <c r="D256" s="36">
        <f t="shared" si="18"/>
        <v>24</v>
      </c>
      <c r="E256" s="32"/>
      <c r="F256" s="67"/>
      <c r="G256" s="43"/>
      <c r="H256" s="43"/>
      <c r="I256" s="44"/>
      <c r="J256" s="35"/>
    </row>
    <row r="257" spans="1:10" hidden="1" x14ac:dyDescent="0.25">
      <c r="A257" s="28">
        <f t="shared" si="16"/>
        <v>45823</v>
      </c>
      <c r="B257" s="29">
        <f t="shared" si="19"/>
        <v>45823</v>
      </c>
      <c r="C257" s="30">
        <f t="shared" si="17"/>
        <v>45823</v>
      </c>
      <c r="D257" s="36">
        <f t="shared" si="18"/>
        <v>25</v>
      </c>
      <c r="E257" s="32"/>
      <c r="F257" s="67"/>
      <c r="G257" s="43"/>
      <c r="H257" s="43"/>
      <c r="I257" s="44"/>
      <c r="J257" s="35"/>
    </row>
    <row r="258" spans="1:10" hidden="1" x14ac:dyDescent="0.25">
      <c r="A258" s="28">
        <f t="shared" si="16"/>
        <v>45824</v>
      </c>
      <c r="B258" s="29">
        <f t="shared" si="19"/>
        <v>45824</v>
      </c>
      <c r="C258" s="30">
        <f t="shared" si="17"/>
        <v>45824</v>
      </c>
      <c r="D258" s="36">
        <f t="shared" si="18"/>
        <v>25</v>
      </c>
      <c r="E258" s="37">
        <v>7</v>
      </c>
      <c r="F258" s="38" t="s">
        <v>130</v>
      </c>
      <c r="G258" s="39" t="s">
        <v>137</v>
      </c>
      <c r="H258" s="39" t="s">
        <v>138</v>
      </c>
      <c r="I258" s="44"/>
      <c r="J258" s="35"/>
    </row>
    <row r="259" spans="1:10" hidden="1" x14ac:dyDescent="0.25">
      <c r="A259" s="28">
        <f t="shared" si="16"/>
        <v>45825</v>
      </c>
      <c r="B259" s="29">
        <f t="shared" si="19"/>
        <v>45825</v>
      </c>
      <c r="C259" s="30">
        <f t="shared" si="17"/>
        <v>45825</v>
      </c>
      <c r="D259" s="36">
        <f t="shared" si="18"/>
        <v>25</v>
      </c>
      <c r="E259" s="32">
        <v>7</v>
      </c>
      <c r="F259" s="67" t="s">
        <v>130</v>
      </c>
      <c r="G259" s="43" t="s">
        <v>137</v>
      </c>
      <c r="H259" s="43" t="s">
        <v>139</v>
      </c>
      <c r="I259" s="44"/>
      <c r="J259" s="35"/>
    </row>
    <row r="260" spans="1:10" hidden="1" x14ac:dyDescent="0.25">
      <c r="A260" s="28">
        <f t="shared" si="16"/>
        <v>45826</v>
      </c>
      <c r="B260" s="29">
        <f t="shared" si="19"/>
        <v>45826</v>
      </c>
      <c r="C260" s="30">
        <f t="shared" si="17"/>
        <v>45826</v>
      </c>
      <c r="D260" s="36">
        <f t="shared" si="18"/>
        <v>25</v>
      </c>
      <c r="E260" s="37">
        <v>7</v>
      </c>
      <c r="F260" s="38" t="s">
        <v>130</v>
      </c>
      <c r="G260" s="39" t="s">
        <v>137</v>
      </c>
      <c r="H260" s="39" t="s">
        <v>140</v>
      </c>
      <c r="I260" s="44"/>
      <c r="J260" s="35"/>
    </row>
    <row r="261" spans="1:10" hidden="1" x14ac:dyDescent="0.25">
      <c r="A261" s="28">
        <f t="shared" si="16"/>
        <v>45827</v>
      </c>
      <c r="B261" s="29">
        <f t="shared" si="19"/>
        <v>45827</v>
      </c>
      <c r="C261" s="30">
        <f t="shared" si="17"/>
        <v>45827</v>
      </c>
      <c r="D261" s="36">
        <f t="shared" si="18"/>
        <v>25</v>
      </c>
      <c r="E261" s="32">
        <v>7</v>
      </c>
      <c r="F261" s="67" t="s">
        <v>130</v>
      </c>
      <c r="G261" s="43" t="s">
        <v>137</v>
      </c>
      <c r="H261" s="43" t="s">
        <v>140</v>
      </c>
      <c r="I261" s="44"/>
      <c r="J261" s="35"/>
    </row>
    <row r="262" spans="1:10" hidden="1" x14ac:dyDescent="0.25">
      <c r="A262" s="28">
        <f t="shared" si="16"/>
        <v>45828</v>
      </c>
      <c r="B262" s="29">
        <f t="shared" si="19"/>
        <v>45828</v>
      </c>
      <c r="C262" s="30">
        <f t="shared" si="17"/>
        <v>45828</v>
      </c>
      <c r="D262" s="36">
        <f t="shared" si="18"/>
        <v>25</v>
      </c>
      <c r="E262" s="37">
        <v>6</v>
      </c>
      <c r="F262" s="38" t="s">
        <v>130</v>
      </c>
      <c r="G262" s="39" t="s">
        <v>137</v>
      </c>
      <c r="H262" s="39" t="s">
        <v>138</v>
      </c>
      <c r="I262" s="44"/>
      <c r="J262" s="35">
        <f>SUM(E258:E262)</f>
        <v>34</v>
      </c>
    </row>
    <row r="263" spans="1:10" hidden="1" x14ac:dyDescent="0.25">
      <c r="A263" s="28">
        <f t="shared" si="16"/>
        <v>45829</v>
      </c>
      <c r="B263" s="29">
        <f t="shared" si="19"/>
        <v>45829</v>
      </c>
      <c r="C263" s="30">
        <f t="shared" si="17"/>
        <v>45829</v>
      </c>
      <c r="D263" s="36">
        <f t="shared" si="18"/>
        <v>25</v>
      </c>
      <c r="E263" s="32"/>
      <c r="F263" s="67"/>
      <c r="G263" s="43"/>
      <c r="H263" s="43"/>
      <c r="I263" s="44"/>
      <c r="J263" s="35"/>
    </row>
    <row r="264" spans="1:10" hidden="1" x14ac:dyDescent="0.25">
      <c r="A264" s="28">
        <f t="shared" si="16"/>
        <v>45830</v>
      </c>
      <c r="B264" s="29">
        <f t="shared" si="19"/>
        <v>45830</v>
      </c>
      <c r="C264" s="30">
        <f t="shared" si="17"/>
        <v>45830</v>
      </c>
      <c r="D264" s="36">
        <f t="shared" si="18"/>
        <v>26</v>
      </c>
      <c r="E264" s="32"/>
      <c r="F264" s="67"/>
      <c r="G264" s="43"/>
      <c r="H264" s="43"/>
      <c r="I264" s="44"/>
      <c r="J264" s="35"/>
    </row>
    <row r="265" spans="1:10" hidden="1" x14ac:dyDescent="0.25">
      <c r="A265" s="28">
        <f t="shared" si="16"/>
        <v>45831</v>
      </c>
      <c r="B265" s="29">
        <f t="shared" si="19"/>
        <v>45831</v>
      </c>
      <c r="C265" s="30">
        <f t="shared" si="17"/>
        <v>45831</v>
      </c>
      <c r="D265" s="36">
        <f t="shared" si="18"/>
        <v>26</v>
      </c>
      <c r="E265" s="37">
        <v>7</v>
      </c>
      <c r="F265" s="38" t="s">
        <v>130</v>
      </c>
      <c r="G265" s="39" t="s">
        <v>131</v>
      </c>
      <c r="H265" s="39" t="s">
        <v>135</v>
      </c>
      <c r="I265" s="44"/>
      <c r="J265" s="35"/>
    </row>
    <row r="266" spans="1:10" hidden="1" x14ac:dyDescent="0.25">
      <c r="A266" s="28">
        <f t="shared" si="16"/>
        <v>45832</v>
      </c>
      <c r="B266" s="29">
        <f t="shared" si="19"/>
        <v>45832</v>
      </c>
      <c r="C266" s="30">
        <f t="shared" si="17"/>
        <v>45832</v>
      </c>
      <c r="D266" s="36">
        <f t="shared" si="18"/>
        <v>26</v>
      </c>
      <c r="E266" s="32">
        <v>7</v>
      </c>
      <c r="F266" s="67" t="s">
        <v>130</v>
      </c>
      <c r="G266" s="43" t="s">
        <v>137</v>
      </c>
      <c r="H266" s="43" t="s">
        <v>140</v>
      </c>
      <c r="I266" s="44"/>
      <c r="J266" s="35"/>
    </row>
    <row r="267" spans="1:10" hidden="1" x14ac:dyDescent="0.25">
      <c r="A267" s="28">
        <f t="shared" si="16"/>
        <v>45833</v>
      </c>
      <c r="B267" s="29">
        <f t="shared" si="19"/>
        <v>45833</v>
      </c>
      <c r="C267" s="30">
        <f t="shared" si="17"/>
        <v>45833</v>
      </c>
      <c r="D267" s="36">
        <f t="shared" si="18"/>
        <v>26</v>
      </c>
      <c r="E267" s="37">
        <v>7</v>
      </c>
      <c r="F267" s="38" t="s">
        <v>130</v>
      </c>
      <c r="G267" s="39" t="s">
        <v>137</v>
      </c>
      <c r="H267" s="39" t="s">
        <v>140</v>
      </c>
      <c r="I267" s="44"/>
      <c r="J267" s="35"/>
    </row>
    <row r="268" spans="1:10" hidden="1" x14ac:dyDescent="0.25">
      <c r="A268" s="28">
        <f t="shared" si="16"/>
        <v>45834</v>
      </c>
      <c r="B268" s="29">
        <f>+B267+1</f>
        <v>45834</v>
      </c>
      <c r="C268" s="30">
        <f t="shared" si="17"/>
        <v>45834</v>
      </c>
      <c r="D268" s="36">
        <f t="shared" si="18"/>
        <v>26</v>
      </c>
      <c r="E268" s="32">
        <v>7</v>
      </c>
      <c r="F268" s="67" t="s">
        <v>15</v>
      </c>
      <c r="G268" s="43" t="s">
        <v>19</v>
      </c>
      <c r="H268" s="43" t="s">
        <v>141</v>
      </c>
      <c r="I268" s="44"/>
      <c r="J268" s="35"/>
    </row>
    <row r="269" spans="1:10" hidden="1" x14ac:dyDescent="0.25">
      <c r="A269" s="28">
        <f t="shared" si="16"/>
        <v>45835</v>
      </c>
      <c r="B269" s="29">
        <f t="shared" si="19"/>
        <v>45835</v>
      </c>
      <c r="C269" s="30">
        <f t="shared" si="17"/>
        <v>45835</v>
      </c>
      <c r="D269" s="36">
        <f t="shared" si="18"/>
        <v>26</v>
      </c>
      <c r="E269" s="37">
        <v>6</v>
      </c>
      <c r="F269" s="38" t="s">
        <v>130</v>
      </c>
      <c r="G269" s="39" t="s">
        <v>137</v>
      </c>
      <c r="H269" s="39" t="s">
        <v>138</v>
      </c>
      <c r="I269" s="44"/>
      <c r="J269" s="35">
        <f>SUM(E265:E269)</f>
        <v>34</v>
      </c>
    </row>
    <row r="270" spans="1:10" hidden="1" x14ac:dyDescent="0.25">
      <c r="A270" s="28">
        <f t="shared" si="16"/>
        <v>45836</v>
      </c>
      <c r="B270" s="29">
        <f t="shared" si="19"/>
        <v>45836</v>
      </c>
      <c r="C270" s="30">
        <f t="shared" si="17"/>
        <v>45836</v>
      </c>
      <c r="D270" s="36">
        <f t="shared" si="18"/>
        <v>26</v>
      </c>
      <c r="E270" s="32"/>
      <c r="F270" s="67"/>
      <c r="G270" s="43"/>
      <c r="H270" s="43"/>
      <c r="I270" s="44"/>
      <c r="J270" s="35"/>
    </row>
    <row r="271" spans="1:10" hidden="1" x14ac:dyDescent="0.25">
      <c r="A271" s="28">
        <f t="shared" si="16"/>
        <v>45837</v>
      </c>
      <c r="B271" s="29">
        <f t="shared" si="19"/>
        <v>45837</v>
      </c>
      <c r="C271" s="30">
        <f t="shared" si="17"/>
        <v>45837</v>
      </c>
      <c r="D271" s="36">
        <f t="shared" si="18"/>
        <v>27</v>
      </c>
      <c r="E271" s="32"/>
      <c r="F271" s="67"/>
      <c r="G271" s="43"/>
      <c r="H271" s="43"/>
      <c r="I271" s="44"/>
      <c r="J271" s="35"/>
    </row>
    <row r="272" spans="1:10" x14ac:dyDescent="0.25">
      <c r="A272" s="28">
        <f t="shared" si="16"/>
        <v>45838</v>
      </c>
      <c r="B272" s="29">
        <f t="shared" si="19"/>
        <v>45838</v>
      </c>
      <c r="C272" s="30">
        <f t="shared" si="17"/>
        <v>45838</v>
      </c>
      <c r="D272" s="36">
        <f t="shared" si="18"/>
        <v>27</v>
      </c>
      <c r="E272" s="37">
        <v>4</v>
      </c>
      <c r="F272" s="38" t="s">
        <v>34</v>
      </c>
      <c r="G272" s="39" t="s">
        <v>24</v>
      </c>
      <c r="H272" s="39" t="s">
        <v>142</v>
      </c>
      <c r="I272" s="44"/>
      <c r="J272" s="35"/>
    </row>
    <row r="273" spans="1:10" hidden="1" x14ac:dyDescent="0.25">
      <c r="A273" s="28">
        <v>45838</v>
      </c>
      <c r="B273" s="29">
        <v>45838</v>
      </c>
      <c r="C273" s="30">
        <v>45838</v>
      </c>
      <c r="D273" s="36">
        <v>27</v>
      </c>
      <c r="E273" s="37">
        <v>3</v>
      </c>
      <c r="F273" s="38" t="s">
        <v>130</v>
      </c>
      <c r="G273" s="39" t="s">
        <v>137</v>
      </c>
      <c r="H273" s="39" t="s">
        <v>138</v>
      </c>
      <c r="I273" s="44"/>
      <c r="J273" s="35"/>
    </row>
    <row r="274" spans="1:10" hidden="1" x14ac:dyDescent="0.25">
      <c r="A274" s="28">
        <f t="shared" si="16"/>
        <v>45839</v>
      </c>
      <c r="B274" s="29">
        <f>+B272+1</f>
        <v>45839</v>
      </c>
      <c r="C274" s="30">
        <f t="shared" si="17"/>
        <v>45839</v>
      </c>
      <c r="D274" s="36">
        <f t="shared" si="18"/>
        <v>27</v>
      </c>
      <c r="E274" s="32">
        <v>7</v>
      </c>
      <c r="F274" s="67" t="s">
        <v>130</v>
      </c>
      <c r="G274" s="43" t="s">
        <v>137</v>
      </c>
      <c r="H274" s="43" t="s">
        <v>139</v>
      </c>
      <c r="I274" s="44"/>
      <c r="J274" s="35"/>
    </row>
    <row r="275" spans="1:10" hidden="1" x14ac:dyDescent="0.25">
      <c r="A275" s="28">
        <f t="shared" si="16"/>
        <v>45840</v>
      </c>
      <c r="B275" s="29">
        <f t="shared" si="19"/>
        <v>45840</v>
      </c>
      <c r="C275" s="30">
        <f t="shared" si="17"/>
        <v>45840</v>
      </c>
      <c r="D275" s="36">
        <f t="shared" si="18"/>
        <v>27</v>
      </c>
      <c r="E275" s="37">
        <v>7</v>
      </c>
      <c r="F275" s="38" t="s">
        <v>130</v>
      </c>
      <c r="G275" s="39" t="s">
        <v>137</v>
      </c>
      <c r="H275" s="39" t="s">
        <v>143</v>
      </c>
      <c r="I275" s="44"/>
      <c r="J275" s="35"/>
    </row>
    <row r="276" spans="1:10" hidden="1" x14ac:dyDescent="0.25">
      <c r="A276" s="28">
        <f t="shared" si="16"/>
        <v>45841</v>
      </c>
      <c r="B276" s="29">
        <f t="shared" si="19"/>
        <v>45841</v>
      </c>
      <c r="C276" s="30">
        <f t="shared" si="17"/>
        <v>45841</v>
      </c>
      <c r="D276" s="36">
        <f t="shared" si="18"/>
        <v>27</v>
      </c>
      <c r="E276" s="32">
        <v>7</v>
      </c>
      <c r="F276" s="67" t="s">
        <v>130</v>
      </c>
      <c r="G276" s="43" t="s">
        <v>137</v>
      </c>
      <c r="H276" s="43" t="s">
        <v>143</v>
      </c>
      <c r="I276" s="44"/>
      <c r="J276" s="35"/>
    </row>
    <row r="277" spans="1:10" hidden="1" x14ac:dyDescent="0.25">
      <c r="A277" s="28">
        <f t="shared" si="16"/>
        <v>45842</v>
      </c>
      <c r="B277" s="29">
        <f t="shared" si="19"/>
        <v>45842</v>
      </c>
      <c r="C277" s="30">
        <f t="shared" si="17"/>
        <v>45842</v>
      </c>
      <c r="D277" s="36">
        <f t="shared" si="18"/>
        <v>27</v>
      </c>
      <c r="E277" s="37">
        <v>6</v>
      </c>
      <c r="F277" s="38" t="s">
        <v>130</v>
      </c>
      <c r="G277" s="39" t="s">
        <v>131</v>
      </c>
      <c r="H277" s="39" t="s">
        <v>132</v>
      </c>
      <c r="I277" s="44"/>
      <c r="J277" s="35">
        <f>SUM(E272:E277)</f>
        <v>34</v>
      </c>
    </row>
    <row r="278" spans="1:10" hidden="1" x14ac:dyDescent="0.25">
      <c r="A278" s="28">
        <f t="shared" si="16"/>
        <v>45843</v>
      </c>
      <c r="B278" s="29">
        <f t="shared" si="19"/>
        <v>45843</v>
      </c>
      <c r="C278" s="30">
        <f t="shared" si="17"/>
        <v>45843</v>
      </c>
      <c r="D278" s="36">
        <f t="shared" si="18"/>
        <v>27</v>
      </c>
      <c r="E278" s="32"/>
      <c r="F278" s="67"/>
      <c r="G278" s="43"/>
      <c r="H278" s="43"/>
      <c r="I278" s="44"/>
      <c r="J278" s="35"/>
    </row>
    <row r="279" spans="1:10" hidden="1" x14ac:dyDescent="0.25">
      <c r="A279" s="28">
        <f t="shared" si="16"/>
        <v>45844</v>
      </c>
      <c r="B279" s="29">
        <f t="shared" si="19"/>
        <v>45844</v>
      </c>
      <c r="C279" s="30">
        <f t="shared" si="17"/>
        <v>45844</v>
      </c>
      <c r="D279" s="36">
        <f t="shared" si="18"/>
        <v>28</v>
      </c>
      <c r="E279" s="32"/>
      <c r="F279" s="67"/>
      <c r="G279" s="43"/>
      <c r="H279" s="43"/>
      <c r="I279" s="44"/>
      <c r="J279" s="35"/>
    </row>
    <row r="280" spans="1:10" hidden="1" x14ac:dyDescent="0.25">
      <c r="A280" s="28">
        <f t="shared" si="16"/>
        <v>45845</v>
      </c>
      <c r="B280" s="29">
        <f t="shared" si="19"/>
        <v>45845</v>
      </c>
      <c r="C280" s="30">
        <f t="shared" si="17"/>
        <v>45845</v>
      </c>
      <c r="D280" s="36">
        <f t="shared" si="18"/>
        <v>28</v>
      </c>
      <c r="E280" s="37">
        <v>7</v>
      </c>
      <c r="F280" s="38" t="s">
        <v>130</v>
      </c>
      <c r="G280" s="39" t="s">
        <v>131</v>
      </c>
      <c r="H280" s="39" t="s">
        <v>132</v>
      </c>
      <c r="I280" s="44"/>
      <c r="J280" s="35"/>
    </row>
    <row r="281" spans="1:10" hidden="1" x14ac:dyDescent="0.25">
      <c r="A281" s="28">
        <f t="shared" si="16"/>
        <v>45846</v>
      </c>
      <c r="B281" s="29">
        <f t="shared" si="19"/>
        <v>45846</v>
      </c>
      <c r="C281" s="30">
        <f t="shared" si="17"/>
        <v>45846</v>
      </c>
      <c r="D281" s="36">
        <f t="shared" si="18"/>
        <v>28</v>
      </c>
      <c r="E281" s="32">
        <v>7</v>
      </c>
      <c r="F281" s="67" t="s">
        <v>130</v>
      </c>
      <c r="G281" s="43" t="s">
        <v>131</v>
      </c>
      <c r="H281" s="43" t="s">
        <v>132</v>
      </c>
      <c r="I281" s="44"/>
      <c r="J281" s="35"/>
    </row>
    <row r="282" spans="1:10" hidden="1" x14ac:dyDescent="0.25">
      <c r="A282" s="28">
        <f t="shared" si="16"/>
        <v>45847</v>
      </c>
      <c r="B282" s="29">
        <f t="shared" si="19"/>
        <v>45847</v>
      </c>
      <c r="C282" s="30">
        <f t="shared" si="17"/>
        <v>45847</v>
      </c>
      <c r="D282" s="36">
        <f t="shared" si="18"/>
        <v>28</v>
      </c>
      <c r="E282" s="37">
        <v>4</v>
      </c>
      <c r="F282" s="38" t="s">
        <v>130</v>
      </c>
      <c r="G282" s="39" t="s">
        <v>131</v>
      </c>
      <c r="H282" s="39" t="s">
        <v>135</v>
      </c>
      <c r="I282" s="44"/>
      <c r="J282" s="35"/>
    </row>
    <row r="283" spans="1:10" hidden="1" x14ac:dyDescent="0.25">
      <c r="A283" s="28">
        <v>45847</v>
      </c>
      <c r="B283" s="29">
        <v>45847</v>
      </c>
      <c r="C283" s="30">
        <v>45847</v>
      </c>
      <c r="D283" s="36">
        <v>28</v>
      </c>
      <c r="E283" s="37">
        <v>3</v>
      </c>
      <c r="F283" s="38" t="s">
        <v>130</v>
      </c>
      <c r="G283" s="39" t="s">
        <v>137</v>
      </c>
      <c r="H283" s="39" t="s">
        <v>144</v>
      </c>
      <c r="I283" s="44"/>
      <c r="J283" s="35"/>
    </row>
    <row r="284" spans="1:10" hidden="1" x14ac:dyDescent="0.25">
      <c r="A284" s="28">
        <f t="shared" si="16"/>
        <v>45848</v>
      </c>
      <c r="B284" s="29">
        <f>+B282+1</f>
        <v>45848</v>
      </c>
      <c r="C284" s="30">
        <f t="shared" si="17"/>
        <v>45848</v>
      </c>
      <c r="D284" s="36">
        <f t="shared" si="18"/>
        <v>28</v>
      </c>
      <c r="E284" s="32">
        <v>7</v>
      </c>
      <c r="F284" s="67" t="s">
        <v>130</v>
      </c>
      <c r="G284" s="43" t="s">
        <v>137</v>
      </c>
      <c r="H284" s="43" t="s">
        <v>144</v>
      </c>
      <c r="I284" s="44"/>
      <c r="J284" s="35"/>
    </row>
    <row r="285" spans="1:10" hidden="1" x14ac:dyDescent="0.25">
      <c r="A285" s="28">
        <f t="shared" si="16"/>
        <v>45849</v>
      </c>
      <c r="B285" s="29">
        <f t="shared" si="19"/>
        <v>45849</v>
      </c>
      <c r="C285" s="30">
        <f t="shared" si="17"/>
        <v>45849</v>
      </c>
      <c r="D285" s="36">
        <f t="shared" si="18"/>
        <v>28</v>
      </c>
      <c r="E285" s="32">
        <v>6</v>
      </c>
      <c r="F285" s="67" t="s">
        <v>130</v>
      </c>
      <c r="G285" s="43" t="s">
        <v>137</v>
      </c>
      <c r="H285" s="43" t="s">
        <v>145</v>
      </c>
      <c r="I285" s="44"/>
      <c r="J285" s="35">
        <f>SUM(E280:E285)</f>
        <v>34</v>
      </c>
    </row>
    <row r="286" spans="1:10" hidden="1" x14ac:dyDescent="0.25">
      <c r="A286" s="28">
        <f t="shared" si="16"/>
        <v>45850</v>
      </c>
      <c r="B286" s="29">
        <f t="shared" si="19"/>
        <v>45850</v>
      </c>
      <c r="C286" s="30">
        <f t="shared" si="17"/>
        <v>45850</v>
      </c>
      <c r="D286" s="36">
        <f t="shared" si="18"/>
        <v>28</v>
      </c>
      <c r="E286" s="32"/>
      <c r="F286" s="67"/>
      <c r="G286" s="43"/>
      <c r="H286" s="43"/>
      <c r="I286" s="44"/>
      <c r="J286" s="35"/>
    </row>
    <row r="287" spans="1:10" hidden="1" x14ac:dyDescent="0.25">
      <c r="A287" s="28">
        <f t="shared" si="16"/>
        <v>45851</v>
      </c>
      <c r="B287" s="29">
        <f t="shared" si="19"/>
        <v>45851</v>
      </c>
      <c r="C287" s="30">
        <f t="shared" si="17"/>
        <v>45851</v>
      </c>
      <c r="D287" s="36">
        <f t="shared" si="18"/>
        <v>29</v>
      </c>
      <c r="E287" s="32"/>
      <c r="F287" s="67"/>
      <c r="G287" s="43"/>
      <c r="H287" s="43"/>
      <c r="I287" s="44"/>
      <c r="J287" s="35"/>
    </row>
    <row r="288" spans="1:10" hidden="1" x14ac:dyDescent="0.25">
      <c r="A288" s="28">
        <f t="shared" ref="A288:A363" si="20">B288</f>
        <v>45852</v>
      </c>
      <c r="B288" s="29">
        <f t="shared" si="19"/>
        <v>45852</v>
      </c>
      <c r="C288" s="30">
        <f t="shared" ref="C288:C363" si="21">B288</f>
        <v>45852</v>
      </c>
      <c r="D288" s="36">
        <f t="shared" ref="D288:D363" si="22">WEEKNUM(A288)</f>
        <v>29</v>
      </c>
      <c r="E288" s="32">
        <v>7</v>
      </c>
      <c r="F288" s="67" t="s">
        <v>82</v>
      </c>
      <c r="G288" s="43" t="s">
        <v>83</v>
      </c>
      <c r="H288" s="43" t="s">
        <v>39</v>
      </c>
      <c r="I288" s="44"/>
      <c r="J288" s="35"/>
    </row>
    <row r="289" spans="1:10" hidden="1" x14ac:dyDescent="0.25">
      <c r="A289" s="28">
        <f t="shared" si="20"/>
        <v>45853</v>
      </c>
      <c r="B289" s="29">
        <f t="shared" si="19"/>
        <v>45853</v>
      </c>
      <c r="C289" s="30">
        <f t="shared" si="21"/>
        <v>45853</v>
      </c>
      <c r="D289" s="36">
        <f t="shared" si="22"/>
        <v>29</v>
      </c>
      <c r="E289" s="32">
        <v>7</v>
      </c>
      <c r="F289" s="67" t="s">
        <v>82</v>
      </c>
      <c r="G289" s="43" t="s">
        <v>83</v>
      </c>
      <c r="H289" s="43" t="s">
        <v>39</v>
      </c>
      <c r="I289" s="44"/>
      <c r="J289" s="35"/>
    </row>
    <row r="290" spans="1:10" hidden="1" x14ac:dyDescent="0.25">
      <c r="A290" s="28">
        <f t="shared" si="20"/>
        <v>45854</v>
      </c>
      <c r="B290" s="29">
        <f t="shared" si="19"/>
        <v>45854</v>
      </c>
      <c r="C290" s="30">
        <f t="shared" si="21"/>
        <v>45854</v>
      </c>
      <c r="D290" s="36">
        <f t="shared" si="22"/>
        <v>29</v>
      </c>
      <c r="E290" s="32">
        <v>7</v>
      </c>
      <c r="F290" s="67" t="s">
        <v>82</v>
      </c>
      <c r="G290" s="43" t="s">
        <v>83</v>
      </c>
      <c r="H290" s="43" t="s">
        <v>39</v>
      </c>
      <c r="I290" s="44"/>
      <c r="J290" s="35"/>
    </row>
    <row r="291" spans="1:10" hidden="1" x14ac:dyDescent="0.25">
      <c r="A291" s="28">
        <f t="shared" si="20"/>
        <v>45855</v>
      </c>
      <c r="B291" s="29">
        <f t="shared" si="19"/>
        <v>45855</v>
      </c>
      <c r="C291" s="30">
        <f t="shared" si="21"/>
        <v>45855</v>
      </c>
      <c r="D291" s="36">
        <f t="shared" si="22"/>
        <v>29</v>
      </c>
      <c r="E291" s="32">
        <v>7</v>
      </c>
      <c r="F291" s="67" t="s">
        <v>82</v>
      </c>
      <c r="G291" s="43" t="s">
        <v>83</v>
      </c>
      <c r="H291" s="43" t="s">
        <v>39</v>
      </c>
      <c r="I291" s="44"/>
      <c r="J291" s="35"/>
    </row>
    <row r="292" spans="1:10" hidden="1" x14ac:dyDescent="0.25">
      <c r="A292" s="28">
        <f t="shared" si="20"/>
        <v>45856</v>
      </c>
      <c r="B292" s="29">
        <f t="shared" si="19"/>
        <v>45856</v>
      </c>
      <c r="C292" s="30">
        <f t="shared" si="21"/>
        <v>45856</v>
      </c>
      <c r="D292" s="36">
        <f t="shared" si="22"/>
        <v>29</v>
      </c>
      <c r="E292" s="32">
        <v>6</v>
      </c>
      <c r="F292" s="67" t="s">
        <v>82</v>
      </c>
      <c r="G292" s="43" t="s">
        <v>83</v>
      </c>
      <c r="H292" s="43" t="s">
        <v>39</v>
      </c>
      <c r="I292" s="44"/>
      <c r="J292" s="35">
        <f>SUM(E288:E292)</f>
        <v>34</v>
      </c>
    </row>
    <row r="293" spans="1:10" hidden="1" x14ac:dyDescent="0.25">
      <c r="A293" s="28">
        <f t="shared" si="20"/>
        <v>45857</v>
      </c>
      <c r="B293" s="29">
        <f t="shared" si="19"/>
        <v>45857</v>
      </c>
      <c r="C293" s="30">
        <f t="shared" si="21"/>
        <v>45857</v>
      </c>
      <c r="D293" s="36">
        <f t="shared" si="22"/>
        <v>29</v>
      </c>
      <c r="E293" s="32"/>
      <c r="F293" s="67"/>
      <c r="G293" s="43"/>
      <c r="H293" s="43"/>
      <c r="I293" s="44"/>
      <c r="J293" s="35"/>
    </row>
    <row r="294" spans="1:10" hidden="1" x14ac:dyDescent="0.25">
      <c r="A294" s="28">
        <f t="shared" si="20"/>
        <v>45858</v>
      </c>
      <c r="B294" s="29">
        <f t="shared" si="19"/>
        <v>45858</v>
      </c>
      <c r="C294" s="30">
        <f t="shared" si="21"/>
        <v>45858</v>
      </c>
      <c r="D294" s="36">
        <f t="shared" si="22"/>
        <v>30</v>
      </c>
      <c r="E294" s="32"/>
      <c r="F294" s="67"/>
      <c r="G294" s="43"/>
      <c r="H294" s="43"/>
      <c r="I294" s="44"/>
      <c r="J294" s="35"/>
    </row>
    <row r="295" spans="1:10" hidden="1" x14ac:dyDescent="0.25">
      <c r="A295" s="28">
        <f t="shared" si="20"/>
        <v>45859</v>
      </c>
      <c r="B295" s="29">
        <f t="shared" si="19"/>
        <v>45859</v>
      </c>
      <c r="C295" s="30">
        <f t="shared" si="21"/>
        <v>45859</v>
      </c>
      <c r="D295" s="36">
        <f t="shared" si="22"/>
        <v>30</v>
      </c>
      <c r="E295" s="32">
        <v>7</v>
      </c>
      <c r="F295" s="67" t="s">
        <v>82</v>
      </c>
      <c r="G295" s="43" t="s">
        <v>83</v>
      </c>
      <c r="H295" s="43" t="s">
        <v>39</v>
      </c>
      <c r="I295" s="44"/>
      <c r="J295" s="35"/>
    </row>
    <row r="296" spans="1:10" hidden="1" x14ac:dyDescent="0.25">
      <c r="A296" s="28">
        <f t="shared" si="20"/>
        <v>45860</v>
      </c>
      <c r="B296" s="29">
        <f t="shared" si="19"/>
        <v>45860</v>
      </c>
      <c r="C296" s="30">
        <f t="shared" si="21"/>
        <v>45860</v>
      </c>
      <c r="D296" s="36">
        <f t="shared" si="22"/>
        <v>30</v>
      </c>
      <c r="E296" s="32">
        <v>7</v>
      </c>
      <c r="F296" s="67" t="s">
        <v>82</v>
      </c>
      <c r="G296" s="43" t="s">
        <v>83</v>
      </c>
      <c r="H296" s="43" t="s">
        <v>39</v>
      </c>
      <c r="I296" s="44"/>
      <c r="J296" s="35"/>
    </row>
    <row r="297" spans="1:10" hidden="1" x14ac:dyDescent="0.25">
      <c r="A297" s="28">
        <f t="shared" si="20"/>
        <v>45861</v>
      </c>
      <c r="B297" s="29">
        <f t="shared" si="19"/>
        <v>45861</v>
      </c>
      <c r="C297" s="30">
        <f t="shared" si="21"/>
        <v>45861</v>
      </c>
      <c r="D297" s="36">
        <f t="shared" si="22"/>
        <v>30</v>
      </c>
      <c r="E297" s="32">
        <v>7</v>
      </c>
      <c r="F297" s="67" t="s">
        <v>82</v>
      </c>
      <c r="G297" s="43" t="s">
        <v>83</v>
      </c>
      <c r="H297" s="43" t="s">
        <v>39</v>
      </c>
      <c r="I297" s="44"/>
      <c r="J297" s="35"/>
    </row>
    <row r="298" spans="1:10" hidden="1" x14ac:dyDescent="0.25">
      <c r="A298" s="28">
        <f t="shared" si="20"/>
        <v>45862</v>
      </c>
      <c r="B298" s="29">
        <f t="shared" si="19"/>
        <v>45862</v>
      </c>
      <c r="C298" s="30">
        <f t="shared" si="21"/>
        <v>45862</v>
      </c>
      <c r="D298" s="36">
        <f t="shared" si="22"/>
        <v>30</v>
      </c>
      <c r="E298" s="32">
        <v>7</v>
      </c>
      <c r="F298" s="67" t="s">
        <v>82</v>
      </c>
      <c r="G298" s="43" t="s">
        <v>83</v>
      </c>
      <c r="H298" s="43" t="s">
        <v>39</v>
      </c>
      <c r="I298" s="44"/>
      <c r="J298" s="35"/>
    </row>
    <row r="299" spans="1:10" hidden="1" x14ac:dyDescent="0.25">
      <c r="A299" s="28">
        <f t="shared" si="20"/>
        <v>45863</v>
      </c>
      <c r="B299" s="29">
        <f t="shared" si="19"/>
        <v>45863</v>
      </c>
      <c r="C299" s="30">
        <f t="shared" si="21"/>
        <v>45863</v>
      </c>
      <c r="D299" s="36">
        <f t="shared" si="22"/>
        <v>30</v>
      </c>
      <c r="E299" s="54" t="s">
        <v>33</v>
      </c>
      <c r="F299" s="66"/>
      <c r="G299" s="56"/>
      <c r="H299" s="56"/>
      <c r="I299" s="44"/>
      <c r="J299" s="35">
        <f>SUM(E295:E299)</f>
        <v>28</v>
      </c>
    </row>
    <row r="300" spans="1:10" hidden="1" x14ac:dyDescent="0.25">
      <c r="A300" s="28">
        <f t="shared" si="20"/>
        <v>45864</v>
      </c>
      <c r="B300" s="29">
        <f t="shared" si="19"/>
        <v>45864</v>
      </c>
      <c r="C300" s="30">
        <f t="shared" si="21"/>
        <v>45864</v>
      </c>
      <c r="D300" s="36">
        <f t="shared" si="22"/>
        <v>30</v>
      </c>
      <c r="E300" s="32"/>
      <c r="F300" s="67"/>
      <c r="G300" s="43"/>
      <c r="H300" s="43"/>
      <c r="I300" s="44"/>
      <c r="J300" s="35"/>
    </row>
    <row r="301" spans="1:10" hidden="1" x14ac:dyDescent="0.25">
      <c r="A301" s="28">
        <f t="shared" si="20"/>
        <v>45865</v>
      </c>
      <c r="B301" s="29">
        <f t="shared" si="19"/>
        <v>45865</v>
      </c>
      <c r="C301" s="30">
        <f t="shared" si="21"/>
        <v>45865</v>
      </c>
      <c r="D301" s="36">
        <f t="shared" si="22"/>
        <v>31</v>
      </c>
      <c r="E301" s="32"/>
      <c r="F301" s="67"/>
      <c r="G301" s="43"/>
      <c r="H301" s="43"/>
      <c r="I301" s="44"/>
      <c r="J301" s="35"/>
    </row>
    <row r="302" spans="1:10" hidden="1" x14ac:dyDescent="0.25">
      <c r="A302" s="28">
        <f t="shared" si="20"/>
        <v>45866</v>
      </c>
      <c r="B302" s="29">
        <f t="shared" si="19"/>
        <v>45866</v>
      </c>
      <c r="C302" s="30">
        <f t="shared" si="21"/>
        <v>45866</v>
      </c>
      <c r="D302" s="36">
        <f t="shared" si="22"/>
        <v>31</v>
      </c>
      <c r="E302" s="37">
        <v>7</v>
      </c>
      <c r="F302" s="38" t="s">
        <v>130</v>
      </c>
      <c r="G302" s="39" t="s">
        <v>137</v>
      </c>
      <c r="H302" s="39" t="s">
        <v>146</v>
      </c>
      <c r="I302" s="44"/>
      <c r="J302" s="35"/>
    </row>
    <row r="303" spans="1:10" hidden="1" x14ac:dyDescent="0.25">
      <c r="A303" s="28">
        <f t="shared" si="20"/>
        <v>45867</v>
      </c>
      <c r="B303" s="29">
        <f t="shared" si="19"/>
        <v>45867</v>
      </c>
      <c r="C303" s="30">
        <f t="shared" si="21"/>
        <v>45867</v>
      </c>
      <c r="D303" s="36">
        <f t="shared" si="22"/>
        <v>31</v>
      </c>
      <c r="E303" s="32">
        <v>1</v>
      </c>
      <c r="F303" s="67" t="s">
        <v>15</v>
      </c>
      <c r="G303" s="43" t="s">
        <v>19</v>
      </c>
      <c r="H303" s="43" t="s">
        <v>20</v>
      </c>
      <c r="I303" s="44"/>
      <c r="J303" s="35"/>
    </row>
    <row r="304" spans="1:10" hidden="1" x14ac:dyDescent="0.25">
      <c r="A304" s="28">
        <v>45867</v>
      </c>
      <c r="B304" s="29">
        <v>45867</v>
      </c>
      <c r="C304" s="30">
        <v>45867</v>
      </c>
      <c r="D304" s="36">
        <v>31</v>
      </c>
      <c r="E304" s="32">
        <v>1</v>
      </c>
      <c r="F304" s="67" t="s">
        <v>147</v>
      </c>
      <c r="G304" s="43" t="s">
        <v>54</v>
      </c>
      <c r="H304" s="43" t="s">
        <v>148</v>
      </c>
      <c r="I304" s="44"/>
      <c r="J304" s="35"/>
    </row>
    <row r="305" spans="1:10" hidden="1" x14ac:dyDescent="0.25">
      <c r="A305" s="28">
        <v>45867</v>
      </c>
      <c r="B305" s="29">
        <v>45867</v>
      </c>
      <c r="C305" s="30">
        <v>45867</v>
      </c>
      <c r="D305" s="36">
        <v>31</v>
      </c>
      <c r="E305" s="32">
        <v>5</v>
      </c>
      <c r="F305" s="67" t="s">
        <v>130</v>
      </c>
      <c r="G305" s="43" t="s">
        <v>137</v>
      </c>
      <c r="H305" s="43" t="s">
        <v>149</v>
      </c>
      <c r="I305" s="44"/>
      <c r="J305" s="35"/>
    </row>
    <row r="306" spans="1:10" hidden="1" x14ac:dyDescent="0.25">
      <c r="A306" s="28">
        <f t="shared" si="20"/>
        <v>45868</v>
      </c>
      <c r="B306" s="29">
        <f>+B303+1</f>
        <v>45868</v>
      </c>
      <c r="C306" s="30">
        <f t="shared" si="21"/>
        <v>45868</v>
      </c>
      <c r="D306" s="36">
        <f t="shared" si="22"/>
        <v>31</v>
      </c>
      <c r="E306" s="37">
        <v>7</v>
      </c>
      <c r="F306" s="38" t="s">
        <v>130</v>
      </c>
      <c r="G306" s="39" t="s">
        <v>137</v>
      </c>
      <c r="H306" s="39" t="s">
        <v>144</v>
      </c>
      <c r="I306" s="44"/>
      <c r="J306" s="35"/>
    </row>
    <row r="307" spans="1:10" hidden="1" x14ac:dyDescent="0.25">
      <c r="A307" s="28">
        <f t="shared" si="20"/>
        <v>45869</v>
      </c>
      <c r="B307" s="29">
        <f t="shared" si="19"/>
        <v>45869</v>
      </c>
      <c r="C307" s="30">
        <f t="shared" si="21"/>
        <v>45869</v>
      </c>
      <c r="D307" s="36">
        <f t="shared" si="22"/>
        <v>31</v>
      </c>
      <c r="E307" s="32">
        <v>7</v>
      </c>
      <c r="F307" s="67" t="s">
        <v>130</v>
      </c>
      <c r="G307" s="43" t="s">
        <v>137</v>
      </c>
      <c r="H307" s="43" t="s">
        <v>144</v>
      </c>
      <c r="I307" s="44"/>
      <c r="J307" s="35"/>
    </row>
    <row r="308" spans="1:10" x14ac:dyDescent="0.25">
      <c r="A308" s="28">
        <f t="shared" si="20"/>
        <v>45870</v>
      </c>
      <c r="B308" s="29">
        <f t="shared" si="19"/>
        <v>45870</v>
      </c>
      <c r="C308" s="30">
        <f t="shared" si="21"/>
        <v>45870</v>
      </c>
      <c r="D308" s="36">
        <f t="shared" si="22"/>
        <v>31</v>
      </c>
      <c r="E308" s="37">
        <v>6</v>
      </c>
      <c r="F308" s="38" t="s">
        <v>34</v>
      </c>
      <c r="G308" s="39" t="s">
        <v>35</v>
      </c>
      <c r="H308" s="39" t="s">
        <v>150</v>
      </c>
      <c r="I308" s="44"/>
      <c r="J308" s="35">
        <f>SUM(E302:E308)</f>
        <v>34</v>
      </c>
    </row>
    <row r="309" spans="1:10" hidden="1" x14ac:dyDescent="0.25">
      <c r="A309" s="28">
        <f t="shared" si="20"/>
        <v>45871</v>
      </c>
      <c r="B309" s="29">
        <f t="shared" si="19"/>
        <v>45871</v>
      </c>
      <c r="C309" s="30">
        <f t="shared" si="21"/>
        <v>45871</v>
      </c>
      <c r="D309" s="36">
        <f t="shared" si="22"/>
        <v>31</v>
      </c>
      <c r="E309" s="32"/>
      <c r="F309" s="67"/>
      <c r="G309" s="43"/>
      <c r="H309" s="43"/>
      <c r="I309" s="44"/>
      <c r="J309" s="35"/>
    </row>
    <row r="310" spans="1:10" hidden="1" x14ac:dyDescent="0.25">
      <c r="A310" s="28">
        <f t="shared" si="20"/>
        <v>45872</v>
      </c>
      <c r="B310" s="29">
        <f t="shared" si="19"/>
        <v>45872</v>
      </c>
      <c r="C310" s="30">
        <f t="shared" si="21"/>
        <v>45872</v>
      </c>
      <c r="D310" s="36">
        <f t="shared" si="22"/>
        <v>32</v>
      </c>
      <c r="E310" s="32"/>
      <c r="F310" s="67"/>
      <c r="G310" s="43"/>
      <c r="H310" s="43"/>
      <c r="I310" s="44"/>
      <c r="J310" s="35"/>
    </row>
    <row r="311" spans="1:10" hidden="1" x14ac:dyDescent="0.25">
      <c r="A311" s="28">
        <f t="shared" si="20"/>
        <v>45873</v>
      </c>
      <c r="B311" s="29">
        <f t="shared" si="19"/>
        <v>45873</v>
      </c>
      <c r="C311" s="30">
        <f t="shared" si="21"/>
        <v>45873</v>
      </c>
      <c r="D311" s="36">
        <f t="shared" si="22"/>
        <v>32</v>
      </c>
      <c r="E311" s="37">
        <v>7</v>
      </c>
      <c r="F311" s="38" t="s">
        <v>130</v>
      </c>
      <c r="G311" s="39" t="s">
        <v>137</v>
      </c>
      <c r="H311" s="39" t="s">
        <v>146</v>
      </c>
      <c r="I311" s="44"/>
      <c r="J311" s="35"/>
    </row>
    <row r="312" spans="1:10" x14ac:dyDescent="0.25">
      <c r="A312" s="28">
        <f t="shared" si="20"/>
        <v>45874</v>
      </c>
      <c r="B312" s="29">
        <f t="shared" ref="B312:B375" si="23">+B311+1</f>
        <v>45874</v>
      </c>
      <c r="C312" s="30">
        <f t="shared" si="21"/>
        <v>45874</v>
      </c>
      <c r="D312" s="36">
        <f t="shared" si="22"/>
        <v>32</v>
      </c>
      <c r="E312" s="32">
        <v>3</v>
      </c>
      <c r="F312" s="67" t="s">
        <v>34</v>
      </c>
      <c r="G312" s="43" t="s">
        <v>35</v>
      </c>
      <c r="H312" s="43" t="s">
        <v>150</v>
      </c>
      <c r="I312" s="44"/>
      <c r="J312" s="35"/>
    </row>
    <row r="313" spans="1:10" x14ac:dyDescent="0.25">
      <c r="A313" s="28">
        <v>45874</v>
      </c>
      <c r="B313" s="29">
        <v>45874</v>
      </c>
      <c r="C313" s="30">
        <v>45874</v>
      </c>
      <c r="D313" s="36">
        <v>32</v>
      </c>
      <c r="E313" s="32">
        <v>4</v>
      </c>
      <c r="F313" s="67" t="s">
        <v>34</v>
      </c>
      <c r="G313" s="43" t="s">
        <v>35</v>
      </c>
      <c r="H313" s="43" t="s">
        <v>151</v>
      </c>
      <c r="I313" s="44"/>
      <c r="J313" s="35"/>
    </row>
    <row r="314" spans="1:10" x14ac:dyDescent="0.25">
      <c r="A314" s="28">
        <f t="shared" si="20"/>
        <v>45875</v>
      </c>
      <c r="B314" s="29">
        <f>+B312+1</f>
        <v>45875</v>
      </c>
      <c r="C314" s="30">
        <f t="shared" si="21"/>
        <v>45875</v>
      </c>
      <c r="D314" s="36">
        <f t="shared" si="22"/>
        <v>32</v>
      </c>
      <c r="E314" s="37">
        <v>3</v>
      </c>
      <c r="F314" s="38" t="s">
        <v>34</v>
      </c>
      <c r="G314" s="39" t="s">
        <v>35</v>
      </c>
      <c r="H314" s="39" t="s">
        <v>151</v>
      </c>
      <c r="I314" s="44"/>
      <c r="J314" s="35"/>
    </row>
    <row r="315" spans="1:10" hidden="1" x14ac:dyDescent="0.25">
      <c r="A315" s="28">
        <v>45875</v>
      </c>
      <c r="B315" s="29">
        <v>45875</v>
      </c>
      <c r="C315" s="30">
        <v>45875</v>
      </c>
      <c r="D315" s="36">
        <v>32</v>
      </c>
      <c r="E315" s="37">
        <v>4</v>
      </c>
      <c r="F315" s="38" t="s">
        <v>130</v>
      </c>
      <c r="G315" s="39" t="s">
        <v>137</v>
      </c>
      <c r="H315" s="39" t="s">
        <v>146</v>
      </c>
      <c r="I315" s="44"/>
      <c r="J315" s="35"/>
    </row>
    <row r="316" spans="1:10" hidden="1" x14ac:dyDescent="0.25">
      <c r="A316" s="28">
        <f t="shared" si="20"/>
        <v>45876</v>
      </c>
      <c r="B316" s="29">
        <f>+B314+1</f>
        <v>45876</v>
      </c>
      <c r="C316" s="30">
        <f t="shared" si="21"/>
        <v>45876</v>
      </c>
      <c r="D316" s="36">
        <f t="shared" si="22"/>
        <v>32</v>
      </c>
      <c r="E316" s="32">
        <v>7</v>
      </c>
      <c r="F316" s="67" t="s">
        <v>130</v>
      </c>
      <c r="G316" s="43" t="s">
        <v>137</v>
      </c>
      <c r="H316" s="43" t="s">
        <v>145</v>
      </c>
      <c r="I316" s="44"/>
      <c r="J316" s="35"/>
    </row>
    <row r="317" spans="1:10" x14ac:dyDescent="0.25">
      <c r="A317" s="28">
        <f t="shared" si="20"/>
        <v>45877</v>
      </c>
      <c r="B317" s="29">
        <f t="shared" si="23"/>
        <v>45877</v>
      </c>
      <c r="C317" s="30">
        <f t="shared" si="21"/>
        <v>45877</v>
      </c>
      <c r="D317" s="36">
        <f t="shared" si="22"/>
        <v>32</v>
      </c>
      <c r="E317" s="32">
        <v>3</v>
      </c>
      <c r="F317" s="67" t="s">
        <v>34</v>
      </c>
      <c r="G317" s="43" t="s">
        <v>35</v>
      </c>
      <c r="H317" s="43" t="s">
        <v>151</v>
      </c>
      <c r="I317" s="44"/>
      <c r="J317" s="35"/>
    </row>
    <row r="318" spans="1:10" hidden="1" x14ac:dyDescent="0.25">
      <c r="A318" s="28">
        <v>45877</v>
      </c>
      <c r="B318" s="29">
        <v>45877</v>
      </c>
      <c r="C318" s="30">
        <v>45877</v>
      </c>
      <c r="D318" s="36">
        <v>32</v>
      </c>
      <c r="E318" s="37">
        <v>3</v>
      </c>
      <c r="F318" s="38" t="s">
        <v>130</v>
      </c>
      <c r="G318" s="39" t="s">
        <v>137</v>
      </c>
      <c r="H318" s="39" t="s">
        <v>145</v>
      </c>
      <c r="I318" s="44"/>
      <c r="J318" s="35">
        <f>SUM(E311:E318)</f>
        <v>34</v>
      </c>
    </row>
    <row r="319" spans="1:10" hidden="1" x14ac:dyDescent="0.25">
      <c r="A319" s="28">
        <f t="shared" si="20"/>
        <v>45878</v>
      </c>
      <c r="B319" s="29">
        <f>+B317+1</f>
        <v>45878</v>
      </c>
      <c r="C319" s="30">
        <f t="shared" si="21"/>
        <v>45878</v>
      </c>
      <c r="D319" s="36">
        <f t="shared" si="22"/>
        <v>32</v>
      </c>
      <c r="E319" s="32"/>
      <c r="F319" s="67"/>
      <c r="G319" s="43"/>
      <c r="H319" s="43"/>
      <c r="I319" s="44"/>
      <c r="J319" s="35"/>
    </row>
    <row r="320" spans="1:10" hidden="1" x14ac:dyDescent="0.25">
      <c r="A320" s="28">
        <f t="shared" si="20"/>
        <v>45879</v>
      </c>
      <c r="B320" s="29">
        <f t="shared" si="23"/>
        <v>45879</v>
      </c>
      <c r="C320" s="30">
        <f t="shared" si="21"/>
        <v>45879</v>
      </c>
      <c r="D320" s="36">
        <f t="shared" si="22"/>
        <v>33</v>
      </c>
      <c r="E320" s="32"/>
      <c r="F320" s="67"/>
      <c r="G320" s="43"/>
      <c r="H320" s="43"/>
      <c r="I320" s="44"/>
      <c r="J320" s="35"/>
    </row>
    <row r="321" spans="1:10" hidden="1" x14ac:dyDescent="0.25">
      <c r="A321" s="28">
        <f t="shared" si="20"/>
        <v>45880</v>
      </c>
      <c r="B321" s="29">
        <f t="shared" si="23"/>
        <v>45880</v>
      </c>
      <c r="C321" s="30">
        <f t="shared" si="21"/>
        <v>45880</v>
      </c>
      <c r="D321" s="36">
        <f t="shared" si="22"/>
        <v>33</v>
      </c>
      <c r="E321" s="37">
        <v>7</v>
      </c>
      <c r="F321" s="38" t="s">
        <v>130</v>
      </c>
      <c r="G321" s="39" t="s">
        <v>137</v>
      </c>
      <c r="H321" s="39" t="s">
        <v>144</v>
      </c>
      <c r="I321" s="44"/>
      <c r="J321" s="35"/>
    </row>
    <row r="322" spans="1:10" hidden="1" x14ac:dyDescent="0.25">
      <c r="A322" s="28">
        <f t="shared" si="20"/>
        <v>45881</v>
      </c>
      <c r="B322" s="29">
        <f>+B321+1</f>
        <v>45881</v>
      </c>
      <c r="C322" s="30">
        <f t="shared" si="21"/>
        <v>45881</v>
      </c>
      <c r="D322" s="36">
        <f t="shared" si="22"/>
        <v>33</v>
      </c>
      <c r="E322" s="32">
        <v>7</v>
      </c>
      <c r="F322" s="67" t="s">
        <v>130</v>
      </c>
      <c r="G322" s="43" t="s">
        <v>137</v>
      </c>
      <c r="H322" s="43" t="s">
        <v>144</v>
      </c>
      <c r="I322" s="44"/>
      <c r="J322" s="35"/>
    </row>
    <row r="323" spans="1:10" hidden="1" x14ac:dyDescent="0.25">
      <c r="A323" s="28">
        <f t="shared" si="20"/>
        <v>45882</v>
      </c>
      <c r="B323" s="29">
        <f t="shared" si="23"/>
        <v>45882</v>
      </c>
      <c r="C323" s="30">
        <f t="shared" si="21"/>
        <v>45882</v>
      </c>
      <c r="D323" s="36">
        <f t="shared" si="22"/>
        <v>33</v>
      </c>
      <c r="E323" s="37">
        <v>7</v>
      </c>
      <c r="F323" s="38" t="s">
        <v>130</v>
      </c>
      <c r="G323" s="39" t="s">
        <v>137</v>
      </c>
      <c r="H323" s="39" t="s">
        <v>146</v>
      </c>
      <c r="I323" s="44"/>
      <c r="J323" s="35"/>
    </row>
    <row r="324" spans="1:10" hidden="1" x14ac:dyDescent="0.25">
      <c r="A324" s="28">
        <f t="shared" si="20"/>
        <v>45883</v>
      </c>
      <c r="B324" s="29">
        <f t="shared" si="23"/>
        <v>45883</v>
      </c>
      <c r="C324" s="30">
        <f t="shared" si="21"/>
        <v>45883</v>
      </c>
      <c r="D324" s="36">
        <f t="shared" si="22"/>
        <v>33</v>
      </c>
      <c r="E324" s="32">
        <v>7</v>
      </c>
      <c r="F324" s="67" t="s">
        <v>130</v>
      </c>
      <c r="G324" s="43" t="s">
        <v>137</v>
      </c>
      <c r="H324" s="43" t="s">
        <v>152</v>
      </c>
      <c r="I324" s="44"/>
      <c r="J324" s="35"/>
    </row>
    <row r="325" spans="1:10" hidden="1" x14ac:dyDescent="0.25">
      <c r="A325" s="28">
        <f t="shared" si="20"/>
        <v>45884</v>
      </c>
      <c r="B325" s="29">
        <f t="shared" si="23"/>
        <v>45884</v>
      </c>
      <c r="C325" s="30">
        <f t="shared" si="21"/>
        <v>45884</v>
      </c>
      <c r="D325" s="36">
        <f t="shared" si="22"/>
        <v>33</v>
      </c>
      <c r="E325" s="54" t="s">
        <v>33</v>
      </c>
      <c r="F325" s="66"/>
      <c r="G325" s="56"/>
      <c r="H325" s="56"/>
      <c r="I325" s="44"/>
      <c r="J325" s="35">
        <f>SUM(E321:E325)</f>
        <v>28</v>
      </c>
    </row>
    <row r="326" spans="1:10" hidden="1" x14ac:dyDescent="0.25">
      <c r="A326" s="28">
        <f t="shared" si="20"/>
        <v>45885</v>
      </c>
      <c r="B326" s="29">
        <f t="shared" si="23"/>
        <v>45885</v>
      </c>
      <c r="C326" s="30">
        <f t="shared" si="21"/>
        <v>45885</v>
      </c>
      <c r="D326" s="36">
        <f t="shared" si="22"/>
        <v>33</v>
      </c>
      <c r="E326" s="32"/>
      <c r="F326" s="67"/>
      <c r="G326" s="43"/>
      <c r="H326" s="43"/>
      <c r="I326" s="44"/>
      <c r="J326" s="35"/>
    </row>
    <row r="327" spans="1:10" hidden="1" x14ac:dyDescent="0.25">
      <c r="A327" s="28">
        <f t="shared" si="20"/>
        <v>45886</v>
      </c>
      <c r="B327" s="29">
        <f t="shared" si="23"/>
        <v>45886</v>
      </c>
      <c r="C327" s="30">
        <f t="shared" si="21"/>
        <v>45886</v>
      </c>
      <c r="D327" s="36">
        <f t="shared" si="22"/>
        <v>34</v>
      </c>
      <c r="E327" s="32"/>
      <c r="F327" s="67"/>
      <c r="G327" s="43"/>
      <c r="H327" s="43"/>
      <c r="I327" s="44"/>
      <c r="J327" s="35"/>
    </row>
    <row r="328" spans="1:10" hidden="1" x14ac:dyDescent="0.25">
      <c r="A328" s="28">
        <f t="shared" si="20"/>
        <v>45887</v>
      </c>
      <c r="B328" s="29">
        <f t="shared" si="23"/>
        <v>45887</v>
      </c>
      <c r="C328" s="30">
        <f t="shared" si="21"/>
        <v>45887</v>
      </c>
      <c r="D328" s="36">
        <f t="shared" si="22"/>
        <v>34</v>
      </c>
      <c r="E328" s="37">
        <v>7</v>
      </c>
      <c r="F328" s="38" t="s">
        <v>130</v>
      </c>
      <c r="G328" s="39" t="s">
        <v>137</v>
      </c>
      <c r="H328" s="39" t="s">
        <v>145</v>
      </c>
      <c r="I328" s="44"/>
      <c r="J328" s="35"/>
    </row>
    <row r="329" spans="1:10" hidden="1" x14ac:dyDescent="0.25">
      <c r="A329" s="28">
        <f t="shared" si="20"/>
        <v>45888</v>
      </c>
      <c r="B329" s="29">
        <f t="shared" si="23"/>
        <v>45888</v>
      </c>
      <c r="C329" s="30">
        <f t="shared" si="21"/>
        <v>45888</v>
      </c>
      <c r="D329" s="36">
        <f t="shared" si="22"/>
        <v>34</v>
      </c>
      <c r="E329" s="32">
        <v>3</v>
      </c>
      <c r="F329" s="67" t="s">
        <v>130</v>
      </c>
      <c r="G329" s="43" t="s">
        <v>137</v>
      </c>
      <c r="H329" s="43" t="s">
        <v>152</v>
      </c>
      <c r="I329" s="44"/>
      <c r="J329" s="35"/>
    </row>
    <row r="330" spans="1:10" hidden="1" x14ac:dyDescent="0.25">
      <c r="A330" s="28">
        <v>45888</v>
      </c>
      <c r="B330" s="29">
        <v>45888</v>
      </c>
      <c r="C330" s="30">
        <v>45888</v>
      </c>
      <c r="D330" s="36">
        <v>34</v>
      </c>
      <c r="E330" s="32">
        <v>2</v>
      </c>
      <c r="F330" s="67" t="s">
        <v>153</v>
      </c>
      <c r="G330" s="43" t="s">
        <v>50</v>
      </c>
      <c r="H330" s="43" t="s">
        <v>154</v>
      </c>
      <c r="I330" s="44"/>
      <c r="J330" s="35"/>
    </row>
    <row r="331" spans="1:10" hidden="1" x14ac:dyDescent="0.25">
      <c r="A331" s="28">
        <v>45888</v>
      </c>
      <c r="B331" s="29">
        <v>45888</v>
      </c>
      <c r="C331" s="30">
        <v>45888</v>
      </c>
      <c r="D331" s="36">
        <v>34</v>
      </c>
      <c r="E331" s="32">
        <v>2</v>
      </c>
      <c r="F331" s="67" t="s">
        <v>23</v>
      </c>
      <c r="G331" s="43" t="s">
        <v>24</v>
      </c>
      <c r="H331" s="43" t="s">
        <v>155</v>
      </c>
      <c r="I331" s="44"/>
      <c r="J331" s="35"/>
    </row>
    <row r="332" spans="1:10" hidden="1" x14ac:dyDescent="0.25">
      <c r="A332" s="28">
        <f t="shared" si="20"/>
        <v>45889</v>
      </c>
      <c r="B332" s="29">
        <f>+B329+1</f>
        <v>45889</v>
      </c>
      <c r="C332" s="30">
        <f t="shared" si="21"/>
        <v>45889</v>
      </c>
      <c r="D332" s="36">
        <f t="shared" si="22"/>
        <v>34</v>
      </c>
      <c r="E332" s="37">
        <v>7</v>
      </c>
      <c r="F332" s="38" t="s">
        <v>130</v>
      </c>
      <c r="G332" s="39" t="s">
        <v>137</v>
      </c>
      <c r="H332" s="39" t="s">
        <v>149</v>
      </c>
      <c r="I332" s="44"/>
      <c r="J332" s="35"/>
    </row>
    <row r="333" spans="1:10" hidden="1" x14ac:dyDescent="0.25">
      <c r="A333" s="28">
        <f t="shared" si="20"/>
        <v>45890</v>
      </c>
      <c r="B333" s="29">
        <f t="shared" si="23"/>
        <v>45890</v>
      </c>
      <c r="C333" s="30">
        <f t="shared" si="21"/>
        <v>45890</v>
      </c>
      <c r="D333" s="36">
        <f t="shared" si="22"/>
        <v>34</v>
      </c>
      <c r="E333" s="32">
        <v>5</v>
      </c>
      <c r="F333" s="67" t="s">
        <v>130</v>
      </c>
      <c r="G333" s="43" t="s">
        <v>137</v>
      </c>
      <c r="H333" s="43" t="s">
        <v>149</v>
      </c>
      <c r="I333" s="44"/>
      <c r="J333" s="35"/>
    </row>
    <row r="334" spans="1:10" hidden="1" x14ac:dyDescent="0.25">
      <c r="A334" s="28">
        <v>45890</v>
      </c>
      <c r="B334" s="29">
        <v>45890</v>
      </c>
      <c r="C334" s="30">
        <v>45890</v>
      </c>
      <c r="D334" s="36">
        <v>34</v>
      </c>
      <c r="E334" s="32">
        <v>2</v>
      </c>
      <c r="F334" s="67" t="s">
        <v>23</v>
      </c>
      <c r="G334" s="43" t="s">
        <v>24</v>
      </c>
      <c r="H334" s="43" t="s">
        <v>155</v>
      </c>
      <c r="I334" s="44"/>
      <c r="J334" s="35"/>
    </row>
    <row r="335" spans="1:10" hidden="1" x14ac:dyDescent="0.25">
      <c r="A335" s="28">
        <f t="shared" si="20"/>
        <v>45891</v>
      </c>
      <c r="B335" s="29">
        <f>+B333+1</f>
        <v>45891</v>
      </c>
      <c r="C335" s="30">
        <f t="shared" si="21"/>
        <v>45891</v>
      </c>
      <c r="D335" s="36">
        <f t="shared" si="22"/>
        <v>34</v>
      </c>
      <c r="E335" s="37">
        <v>6</v>
      </c>
      <c r="F335" s="38" t="s">
        <v>23</v>
      </c>
      <c r="G335" s="39" t="s">
        <v>24</v>
      </c>
      <c r="H335" s="39" t="s">
        <v>155</v>
      </c>
      <c r="I335" s="44"/>
      <c r="J335" s="35">
        <f>SUM(E328:E335)+SUM(J328:J334)</f>
        <v>34</v>
      </c>
    </row>
    <row r="336" spans="1:10" hidden="1" x14ac:dyDescent="0.25">
      <c r="A336" s="28">
        <f t="shared" si="20"/>
        <v>45892</v>
      </c>
      <c r="B336" s="29">
        <f t="shared" si="23"/>
        <v>45892</v>
      </c>
      <c r="C336" s="30">
        <f t="shared" si="21"/>
        <v>45892</v>
      </c>
      <c r="D336" s="36">
        <f t="shared" si="22"/>
        <v>34</v>
      </c>
      <c r="E336" s="32"/>
      <c r="F336" s="67"/>
      <c r="G336" s="43"/>
      <c r="H336" s="43"/>
      <c r="I336" s="44"/>
      <c r="J336" s="35"/>
    </row>
    <row r="337" spans="1:10" hidden="1" x14ac:dyDescent="0.25">
      <c r="A337" s="28">
        <f t="shared" si="20"/>
        <v>45893</v>
      </c>
      <c r="B337" s="29">
        <f t="shared" si="23"/>
        <v>45893</v>
      </c>
      <c r="C337" s="30">
        <f t="shared" si="21"/>
        <v>45893</v>
      </c>
      <c r="D337" s="36">
        <f t="shared" si="22"/>
        <v>35</v>
      </c>
      <c r="E337" s="32"/>
      <c r="F337" s="67"/>
      <c r="G337" s="43"/>
      <c r="H337" s="43"/>
      <c r="I337" s="44"/>
      <c r="J337" s="35"/>
    </row>
    <row r="338" spans="1:10" hidden="1" x14ac:dyDescent="0.25">
      <c r="A338" s="28">
        <f t="shared" si="20"/>
        <v>45894</v>
      </c>
      <c r="B338" s="29">
        <f t="shared" si="23"/>
        <v>45894</v>
      </c>
      <c r="C338" s="30">
        <f t="shared" si="21"/>
        <v>45894</v>
      </c>
      <c r="D338" s="36">
        <f t="shared" si="22"/>
        <v>35</v>
      </c>
      <c r="E338" s="37">
        <v>7</v>
      </c>
      <c r="F338" s="38" t="s">
        <v>130</v>
      </c>
      <c r="G338" s="39" t="s">
        <v>137</v>
      </c>
      <c r="H338" s="39" t="s">
        <v>156</v>
      </c>
      <c r="I338" s="44"/>
      <c r="J338" s="35"/>
    </row>
    <row r="339" spans="1:10" hidden="1" x14ac:dyDescent="0.25">
      <c r="A339" s="28">
        <f t="shared" si="20"/>
        <v>45895</v>
      </c>
      <c r="B339" s="29">
        <f t="shared" si="23"/>
        <v>45895</v>
      </c>
      <c r="C339" s="30">
        <f t="shared" si="21"/>
        <v>45895</v>
      </c>
      <c r="D339" s="36">
        <f t="shared" si="22"/>
        <v>35</v>
      </c>
      <c r="E339" s="32">
        <v>7</v>
      </c>
      <c r="F339" s="67" t="s">
        <v>130</v>
      </c>
      <c r="G339" s="43" t="s">
        <v>137</v>
      </c>
      <c r="H339" s="43" t="s">
        <v>156</v>
      </c>
      <c r="I339" s="44"/>
      <c r="J339" s="35"/>
    </row>
    <row r="340" spans="1:10" ht="18" hidden="1" customHeight="1" x14ac:dyDescent="0.25">
      <c r="A340" s="28">
        <f t="shared" si="20"/>
        <v>45896</v>
      </c>
      <c r="B340" s="29">
        <f t="shared" si="23"/>
        <v>45896</v>
      </c>
      <c r="C340" s="30">
        <f t="shared" si="21"/>
        <v>45896</v>
      </c>
      <c r="D340" s="36">
        <f t="shared" si="22"/>
        <v>35</v>
      </c>
      <c r="E340" s="37">
        <v>6</v>
      </c>
      <c r="F340" s="38" t="s">
        <v>130</v>
      </c>
      <c r="G340" s="39" t="s">
        <v>137</v>
      </c>
      <c r="H340" s="39" t="s">
        <v>157</v>
      </c>
      <c r="I340" s="44"/>
      <c r="J340" s="35"/>
    </row>
    <row r="341" spans="1:10" ht="18" hidden="1" customHeight="1" x14ac:dyDescent="0.25">
      <c r="A341" s="28">
        <v>45896</v>
      </c>
      <c r="B341" s="29">
        <v>45896</v>
      </c>
      <c r="C341" s="30">
        <v>45896</v>
      </c>
      <c r="D341" s="36">
        <v>35</v>
      </c>
      <c r="E341" s="37">
        <v>1</v>
      </c>
      <c r="F341" s="38" t="s">
        <v>153</v>
      </c>
      <c r="G341" s="39" t="s">
        <v>50</v>
      </c>
      <c r="H341" s="39" t="s">
        <v>154</v>
      </c>
      <c r="I341" s="44"/>
      <c r="J341" s="35"/>
    </row>
    <row r="342" spans="1:10" ht="18" hidden="1" customHeight="1" x14ac:dyDescent="0.25">
      <c r="A342" s="28">
        <f t="shared" si="20"/>
        <v>45897</v>
      </c>
      <c r="B342" s="29">
        <f>+B340+1</f>
        <v>45897</v>
      </c>
      <c r="C342" s="30">
        <f t="shared" si="21"/>
        <v>45897</v>
      </c>
      <c r="D342" s="36">
        <f t="shared" si="22"/>
        <v>35</v>
      </c>
      <c r="E342" s="32">
        <v>7</v>
      </c>
      <c r="F342" s="67" t="s">
        <v>130</v>
      </c>
      <c r="G342" s="43" t="s">
        <v>137</v>
      </c>
      <c r="H342" s="43" t="s">
        <v>158</v>
      </c>
      <c r="I342" s="44"/>
      <c r="J342" s="35"/>
    </row>
    <row r="343" spans="1:10" hidden="1" x14ac:dyDescent="0.25">
      <c r="A343" s="28">
        <f t="shared" si="20"/>
        <v>45898</v>
      </c>
      <c r="B343" s="29">
        <f t="shared" si="23"/>
        <v>45898</v>
      </c>
      <c r="C343" s="30">
        <f t="shared" si="21"/>
        <v>45898</v>
      </c>
      <c r="D343" s="36">
        <f t="shared" si="22"/>
        <v>35</v>
      </c>
      <c r="E343" s="37">
        <v>6</v>
      </c>
      <c r="F343" s="38" t="s">
        <v>130</v>
      </c>
      <c r="G343" s="39" t="s">
        <v>137</v>
      </c>
      <c r="H343" s="39" t="s">
        <v>158</v>
      </c>
      <c r="I343" s="44"/>
      <c r="J343" s="35">
        <f>SUM(E338:E343)</f>
        <v>34</v>
      </c>
    </row>
    <row r="344" spans="1:10" hidden="1" x14ac:dyDescent="0.25">
      <c r="A344" s="28">
        <f t="shared" si="20"/>
        <v>45899</v>
      </c>
      <c r="B344" s="29">
        <f t="shared" si="23"/>
        <v>45899</v>
      </c>
      <c r="C344" s="30">
        <f t="shared" si="21"/>
        <v>45899</v>
      </c>
      <c r="D344" s="36">
        <f t="shared" si="22"/>
        <v>35</v>
      </c>
      <c r="E344" s="32"/>
      <c r="F344" s="67"/>
      <c r="G344" s="43"/>
      <c r="H344" s="43"/>
      <c r="I344" s="44"/>
      <c r="J344" s="35"/>
    </row>
    <row r="345" spans="1:10" hidden="1" x14ac:dyDescent="0.25">
      <c r="A345" s="28">
        <f t="shared" si="20"/>
        <v>45900</v>
      </c>
      <c r="B345" s="29">
        <f t="shared" si="23"/>
        <v>45900</v>
      </c>
      <c r="C345" s="30">
        <f t="shared" si="21"/>
        <v>45900</v>
      </c>
      <c r="D345" s="36">
        <f t="shared" si="22"/>
        <v>36</v>
      </c>
      <c r="E345" s="32"/>
      <c r="F345" s="67"/>
      <c r="G345" s="43"/>
      <c r="H345" s="43"/>
      <c r="I345" s="44"/>
      <c r="J345" s="35"/>
    </row>
    <row r="346" spans="1:10" hidden="1" x14ac:dyDescent="0.25">
      <c r="A346" s="28">
        <f t="shared" si="20"/>
        <v>45901</v>
      </c>
      <c r="B346" s="29">
        <f t="shared" si="23"/>
        <v>45901</v>
      </c>
      <c r="C346" s="30">
        <f t="shared" si="21"/>
        <v>45901</v>
      </c>
      <c r="D346" s="36">
        <f t="shared" si="22"/>
        <v>36</v>
      </c>
      <c r="E346" s="37">
        <v>7</v>
      </c>
      <c r="F346" s="38" t="s">
        <v>130</v>
      </c>
      <c r="G346" s="39" t="s">
        <v>137</v>
      </c>
      <c r="H346" s="39" t="s">
        <v>158</v>
      </c>
      <c r="I346" s="44"/>
      <c r="J346" s="35"/>
    </row>
    <row r="347" spans="1:10" hidden="1" x14ac:dyDescent="0.25">
      <c r="A347" s="28">
        <f t="shared" si="20"/>
        <v>45902</v>
      </c>
      <c r="B347" s="29">
        <f t="shared" si="23"/>
        <v>45902</v>
      </c>
      <c r="C347" s="30">
        <f t="shared" si="21"/>
        <v>45902</v>
      </c>
      <c r="D347" s="36">
        <f t="shared" si="22"/>
        <v>36</v>
      </c>
      <c r="E347" s="32">
        <v>7</v>
      </c>
      <c r="F347" s="67" t="s">
        <v>130</v>
      </c>
      <c r="G347" s="43" t="s">
        <v>137</v>
      </c>
      <c r="H347" s="43" t="s">
        <v>157</v>
      </c>
      <c r="I347" s="44"/>
      <c r="J347" s="35"/>
    </row>
    <row r="348" spans="1:10" hidden="1" x14ac:dyDescent="0.25">
      <c r="A348" s="28">
        <f t="shared" si="20"/>
        <v>45903</v>
      </c>
      <c r="B348" s="29">
        <f t="shared" si="23"/>
        <v>45903</v>
      </c>
      <c r="C348" s="30">
        <f t="shared" si="21"/>
        <v>45903</v>
      </c>
      <c r="D348" s="36">
        <f t="shared" si="22"/>
        <v>36</v>
      </c>
      <c r="E348" s="37">
        <v>2</v>
      </c>
      <c r="F348" s="38" t="s">
        <v>23</v>
      </c>
      <c r="G348" s="39" t="s">
        <v>24</v>
      </c>
      <c r="H348" s="39" t="s">
        <v>159</v>
      </c>
      <c r="I348" s="44"/>
      <c r="J348" s="35"/>
    </row>
    <row r="349" spans="1:10" hidden="1" x14ac:dyDescent="0.25">
      <c r="A349" s="28">
        <v>45903</v>
      </c>
      <c r="B349" s="29">
        <v>45903</v>
      </c>
      <c r="C349" s="30">
        <v>45903</v>
      </c>
      <c r="D349" s="36">
        <v>36</v>
      </c>
      <c r="E349" s="37">
        <v>5</v>
      </c>
      <c r="F349" s="38" t="s">
        <v>130</v>
      </c>
      <c r="G349" s="39" t="s">
        <v>137</v>
      </c>
      <c r="H349" s="39" t="s">
        <v>158</v>
      </c>
      <c r="I349" s="44"/>
      <c r="J349" s="35"/>
    </row>
    <row r="350" spans="1:10" hidden="1" x14ac:dyDescent="0.25">
      <c r="A350" s="28">
        <f t="shared" si="20"/>
        <v>45904</v>
      </c>
      <c r="B350" s="29">
        <f>+B348+1</f>
        <v>45904</v>
      </c>
      <c r="C350" s="30">
        <f t="shared" si="21"/>
        <v>45904</v>
      </c>
      <c r="D350" s="36">
        <f t="shared" si="22"/>
        <v>36</v>
      </c>
      <c r="E350" s="32">
        <v>7</v>
      </c>
      <c r="F350" s="67" t="s">
        <v>130</v>
      </c>
      <c r="G350" s="43" t="s">
        <v>137</v>
      </c>
      <c r="H350" s="43" t="s">
        <v>160</v>
      </c>
      <c r="I350" s="44"/>
      <c r="J350" s="35"/>
    </row>
    <row r="351" spans="1:10" hidden="1" x14ac:dyDescent="0.25">
      <c r="A351" s="28">
        <f t="shared" si="20"/>
        <v>45905</v>
      </c>
      <c r="B351" s="29">
        <f t="shared" si="23"/>
        <v>45905</v>
      </c>
      <c r="C351" s="30">
        <f t="shared" si="21"/>
        <v>45905</v>
      </c>
      <c r="D351" s="36">
        <f t="shared" si="22"/>
        <v>36</v>
      </c>
      <c r="E351" s="32">
        <v>1</v>
      </c>
      <c r="F351" s="67" t="s">
        <v>23</v>
      </c>
      <c r="G351" s="43" t="s">
        <v>24</v>
      </c>
      <c r="H351" s="43" t="s">
        <v>159</v>
      </c>
      <c r="I351" s="44"/>
      <c r="J351" s="35"/>
    </row>
    <row r="352" spans="1:10" x14ac:dyDescent="0.25">
      <c r="A352" s="28">
        <v>45905</v>
      </c>
      <c r="B352" s="29">
        <v>45905</v>
      </c>
      <c r="C352" s="30">
        <v>45905</v>
      </c>
      <c r="D352" s="36">
        <v>36</v>
      </c>
      <c r="E352" s="32">
        <v>3</v>
      </c>
      <c r="F352" s="67" t="s">
        <v>34</v>
      </c>
      <c r="G352" s="43" t="s">
        <v>35</v>
      </c>
      <c r="H352" s="43" t="s">
        <v>161</v>
      </c>
      <c r="I352" s="44"/>
      <c r="J352" s="35"/>
    </row>
    <row r="353" spans="1:12" hidden="1" x14ac:dyDescent="0.25">
      <c r="A353" s="28">
        <v>45905</v>
      </c>
      <c r="B353" s="29">
        <v>45905</v>
      </c>
      <c r="C353" s="30">
        <v>45905</v>
      </c>
      <c r="D353" s="36">
        <v>36</v>
      </c>
      <c r="E353" s="32">
        <v>2</v>
      </c>
      <c r="F353" s="67" t="s">
        <v>130</v>
      </c>
      <c r="G353" s="43" t="s">
        <v>137</v>
      </c>
      <c r="H353" s="43" t="s">
        <v>160</v>
      </c>
      <c r="I353" s="44"/>
      <c r="J353" s="35">
        <f>SUM(E346:E353)</f>
        <v>34</v>
      </c>
    </row>
    <row r="354" spans="1:12" hidden="1" x14ac:dyDescent="0.25">
      <c r="A354" s="28">
        <f t="shared" si="20"/>
        <v>45906</v>
      </c>
      <c r="B354" s="29">
        <f>+B351+1</f>
        <v>45906</v>
      </c>
      <c r="C354" s="30">
        <f t="shared" si="21"/>
        <v>45906</v>
      </c>
      <c r="D354" s="36">
        <f t="shared" si="22"/>
        <v>36</v>
      </c>
      <c r="E354" s="32"/>
      <c r="F354" s="67"/>
      <c r="G354" s="43"/>
      <c r="H354" s="43"/>
      <c r="I354" s="44"/>
      <c r="J354" s="35"/>
    </row>
    <row r="355" spans="1:12" hidden="1" x14ac:dyDescent="0.25">
      <c r="A355" s="28">
        <f t="shared" si="20"/>
        <v>45907</v>
      </c>
      <c r="B355" s="29">
        <f t="shared" si="23"/>
        <v>45907</v>
      </c>
      <c r="C355" s="30">
        <f t="shared" si="21"/>
        <v>45907</v>
      </c>
      <c r="D355" s="36">
        <f t="shared" si="22"/>
        <v>37</v>
      </c>
      <c r="E355" s="32"/>
      <c r="F355" s="67"/>
      <c r="G355" s="43"/>
      <c r="H355" s="43"/>
      <c r="I355" s="44"/>
      <c r="J355" s="35"/>
    </row>
    <row r="356" spans="1:12" x14ac:dyDescent="0.25">
      <c r="A356" s="28">
        <f t="shared" si="20"/>
        <v>45908</v>
      </c>
      <c r="B356" s="29">
        <f t="shared" si="23"/>
        <v>45908</v>
      </c>
      <c r="C356" s="30">
        <f t="shared" si="21"/>
        <v>45908</v>
      </c>
      <c r="D356" s="36">
        <f t="shared" si="22"/>
        <v>37</v>
      </c>
      <c r="E356" s="32">
        <v>8.5</v>
      </c>
      <c r="F356" s="67" t="s">
        <v>34</v>
      </c>
      <c r="G356" s="43" t="s">
        <v>35</v>
      </c>
      <c r="H356" s="43" t="s">
        <v>162</v>
      </c>
      <c r="I356" s="44"/>
      <c r="J356" s="35"/>
    </row>
    <row r="357" spans="1:12" x14ac:dyDescent="0.25">
      <c r="A357" s="28">
        <f t="shared" si="20"/>
        <v>45909</v>
      </c>
      <c r="B357" s="29">
        <f t="shared" si="23"/>
        <v>45909</v>
      </c>
      <c r="C357" s="30">
        <f t="shared" si="21"/>
        <v>45909</v>
      </c>
      <c r="D357" s="36">
        <f t="shared" si="22"/>
        <v>37</v>
      </c>
      <c r="E357" s="32">
        <v>12</v>
      </c>
      <c r="F357" s="67" t="s">
        <v>34</v>
      </c>
      <c r="G357" s="43" t="s">
        <v>35</v>
      </c>
      <c r="H357" s="43" t="s">
        <v>162</v>
      </c>
      <c r="I357" s="44"/>
      <c r="J357" s="35"/>
    </row>
    <row r="358" spans="1:12" x14ac:dyDescent="0.25">
      <c r="A358" s="28">
        <f t="shared" si="20"/>
        <v>45910</v>
      </c>
      <c r="B358" s="29">
        <f t="shared" si="23"/>
        <v>45910</v>
      </c>
      <c r="C358" s="30">
        <f t="shared" si="21"/>
        <v>45910</v>
      </c>
      <c r="D358" s="36">
        <f t="shared" si="22"/>
        <v>37</v>
      </c>
      <c r="E358" s="32">
        <v>10.5</v>
      </c>
      <c r="F358" s="67" t="s">
        <v>34</v>
      </c>
      <c r="G358" s="43" t="s">
        <v>35</v>
      </c>
      <c r="H358" s="43" t="s">
        <v>162</v>
      </c>
      <c r="I358" s="44"/>
      <c r="J358" s="35"/>
    </row>
    <row r="359" spans="1:12" x14ac:dyDescent="0.25">
      <c r="A359" s="28">
        <f t="shared" si="20"/>
        <v>45911</v>
      </c>
      <c r="B359" s="29">
        <f t="shared" si="23"/>
        <v>45911</v>
      </c>
      <c r="C359" s="30">
        <f t="shared" si="21"/>
        <v>45911</v>
      </c>
      <c r="D359" s="36">
        <f t="shared" si="22"/>
        <v>37</v>
      </c>
      <c r="E359" s="32">
        <v>8.5</v>
      </c>
      <c r="F359" s="67" t="s">
        <v>34</v>
      </c>
      <c r="G359" s="43" t="s">
        <v>35</v>
      </c>
      <c r="H359" s="43" t="s">
        <v>162</v>
      </c>
      <c r="I359" s="44"/>
      <c r="J359" s="35"/>
    </row>
    <row r="360" spans="1:12" x14ac:dyDescent="0.25">
      <c r="A360" s="28">
        <f t="shared" si="20"/>
        <v>45912</v>
      </c>
      <c r="B360" s="29">
        <f t="shared" si="23"/>
        <v>45912</v>
      </c>
      <c r="C360" s="30">
        <f t="shared" si="21"/>
        <v>45912</v>
      </c>
      <c r="D360" s="36">
        <f t="shared" si="22"/>
        <v>37</v>
      </c>
      <c r="E360" s="32">
        <v>6</v>
      </c>
      <c r="F360" s="67" t="s">
        <v>34</v>
      </c>
      <c r="G360" s="43" t="s">
        <v>35</v>
      </c>
      <c r="H360" s="43" t="s">
        <v>162</v>
      </c>
      <c r="I360" s="44"/>
      <c r="J360" s="35">
        <f>SUM(E356:E360)</f>
        <v>45.5</v>
      </c>
      <c r="K360">
        <f>+J360-40</f>
        <v>5.5</v>
      </c>
      <c r="L360" t="s">
        <v>163</v>
      </c>
    </row>
    <row r="361" spans="1:12" hidden="1" x14ac:dyDescent="0.25">
      <c r="A361" s="28">
        <f t="shared" si="20"/>
        <v>45913</v>
      </c>
      <c r="B361" s="29">
        <f t="shared" si="23"/>
        <v>45913</v>
      </c>
      <c r="C361" s="30">
        <f t="shared" si="21"/>
        <v>45913</v>
      </c>
      <c r="D361" s="36">
        <f t="shared" si="22"/>
        <v>37</v>
      </c>
      <c r="E361" s="32"/>
      <c r="F361" s="67"/>
      <c r="G361" s="43"/>
      <c r="H361" s="43"/>
      <c r="I361" s="44"/>
      <c r="J361" s="35"/>
    </row>
    <row r="362" spans="1:12" hidden="1" x14ac:dyDescent="0.25">
      <c r="A362" s="28">
        <f t="shared" si="20"/>
        <v>45914</v>
      </c>
      <c r="B362" s="29">
        <f t="shared" si="23"/>
        <v>45914</v>
      </c>
      <c r="C362" s="30">
        <f t="shared" si="21"/>
        <v>45914</v>
      </c>
      <c r="D362" s="36">
        <f t="shared" si="22"/>
        <v>38</v>
      </c>
      <c r="E362" s="32"/>
      <c r="F362" s="67"/>
      <c r="G362" s="43"/>
      <c r="H362" s="43"/>
      <c r="I362" s="44"/>
      <c r="J362" s="35"/>
    </row>
    <row r="363" spans="1:12" x14ac:dyDescent="0.25">
      <c r="A363" s="28">
        <f t="shared" si="20"/>
        <v>45915</v>
      </c>
      <c r="B363" s="29">
        <f t="shared" si="23"/>
        <v>45915</v>
      </c>
      <c r="C363" s="30">
        <f t="shared" si="21"/>
        <v>45915</v>
      </c>
      <c r="D363" s="36">
        <f t="shared" si="22"/>
        <v>38</v>
      </c>
      <c r="E363" s="32">
        <v>8.5</v>
      </c>
      <c r="F363" s="67" t="s">
        <v>34</v>
      </c>
      <c r="G363" s="43" t="s">
        <v>35</v>
      </c>
      <c r="H363" s="43" t="s">
        <v>162</v>
      </c>
      <c r="I363" s="44"/>
      <c r="J363" s="35"/>
    </row>
    <row r="364" spans="1:12" hidden="1" x14ac:dyDescent="0.25">
      <c r="A364" s="28">
        <f t="shared" ref="A364:A455" si="24">B364</f>
        <v>45916</v>
      </c>
      <c r="B364" s="29">
        <f t="shared" si="23"/>
        <v>45916</v>
      </c>
      <c r="C364" s="30">
        <f t="shared" ref="C364:C455" si="25">B364</f>
        <v>45916</v>
      </c>
      <c r="D364" s="36">
        <f t="shared" ref="D364:D455" si="26">WEEKNUM(A364)</f>
        <v>38</v>
      </c>
      <c r="E364" s="32">
        <v>1.5</v>
      </c>
      <c r="F364" s="72" t="s">
        <v>15</v>
      </c>
      <c r="G364" s="43" t="s">
        <v>16</v>
      </c>
      <c r="H364" s="43" t="s">
        <v>17</v>
      </c>
      <c r="I364" s="44"/>
      <c r="J364" s="35"/>
      <c r="K364" t="s">
        <v>164</v>
      </c>
    </row>
    <row r="365" spans="1:12" x14ac:dyDescent="0.25">
      <c r="A365" s="28">
        <v>45916</v>
      </c>
      <c r="B365" s="29">
        <v>45916</v>
      </c>
      <c r="C365" s="30">
        <v>45916</v>
      </c>
      <c r="D365" s="36">
        <v>38</v>
      </c>
      <c r="E365" s="32">
        <v>3</v>
      </c>
      <c r="F365" s="72" t="s">
        <v>34</v>
      </c>
      <c r="G365" s="43" t="s">
        <v>35</v>
      </c>
      <c r="H365" s="72" t="s">
        <v>162</v>
      </c>
      <c r="I365" s="44"/>
      <c r="J365" s="35"/>
    </row>
    <row r="366" spans="1:12" hidden="1" x14ac:dyDescent="0.25">
      <c r="A366" s="28">
        <v>45916</v>
      </c>
      <c r="B366" s="29">
        <v>45916</v>
      </c>
      <c r="C366" s="30">
        <v>45916</v>
      </c>
      <c r="D366" s="36">
        <v>38</v>
      </c>
      <c r="E366" s="32">
        <v>4</v>
      </c>
      <c r="F366" s="67" t="s">
        <v>130</v>
      </c>
      <c r="G366" s="43" t="s">
        <v>137</v>
      </c>
      <c r="H366" s="43" t="s">
        <v>165</v>
      </c>
      <c r="I366" s="44"/>
      <c r="J366" s="35"/>
    </row>
    <row r="367" spans="1:12" hidden="1" x14ac:dyDescent="0.25">
      <c r="A367" s="28">
        <f t="shared" si="24"/>
        <v>45917</v>
      </c>
      <c r="B367" s="29">
        <f>+B364+1</f>
        <v>45917</v>
      </c>
      <c r="C367" s="30">
        <f t="shared" si="25"/>
        <v>45917</v>
      </c>
      <c r="D367" s="36">
        <f t="shared" si="26"/>
        <v>38</v>
      </c>
      <c r="E367" s="32">
        <v>8.5</v>
      </c>
      <c r="F367" s="67" t="s">
        <v>130</v>
      </c>
      <c r="G367" s="43" t="s">
        <v>137</v>
      </c>
      <c r="H367" s="43" t="s">
        <v>165</v>
      </c>
      <c r="I367" s="44"/>
      <c r="J367" s="35"/>
    </row>
    <row r="368" spans="1:12" hidden="1" x14ac:dyDescent="0.25">
      <c r="A368" s="28">
        <f t="shared" si="24"/>
        <v>45918</v>
      </c>
      <c r="B368" s="29">
        <f t="shared" si="23"/>
        <v>45918</v>
      </c>
      <c r="C368" s="30">
        <f t="shared" si="25"/>
        <v>45918</v>
      </c>
      <c r="D368" s="36">
        <f t="shared" si="26"/>
        <v>38</v>
      </c>
      <c r="E368" s="32">
        <v>1.5</v>
      </c>
      <c r="F368" s="67" t="s">
        <v>15</v>
      </c>
      <c r="G368" s="43" t="s">
        <v>16</v>
      </c>
      <c r="H368" s="43" t="s">
        <v>17</v>
      </c>
      <c r="I368" s="44"/>
      <c r="J368" s="35"/>
    </row>
    <row r="369" spans="1:10" hidden="1" x14ac:dyDescent="0.25">
      <c r="A369" s="28">
        <v>45918</v>
      </c>
      <c r="B369" s="29">
        <v>45918</v>
      </c>
      <c r="C369" s="30">
        <v>45918</v>
      </c>
      <c r="D369" s="36">
        <v>38</v>
      </c>
      <c r="E369" s="32">
        <v>7</v>
      </c>
      <c r="F369" s="67" t="s">
        <v>130</v>
      </c>
      <c r="G369" s="43" t="s">
        <v>137</v>
      </c>
      <c r="H369" s="43" t="s">
        <v>165</v>
      </c>
      <c r="I369" s="44"/>
      <c r="J369" s="35"/>
    </row>
    <row r="370" spans="1:10" hidden="1" x14ac:dyDescent="0.25">
      <c r="A370" s="28">
        <f t="shared" si="24"/>
        <v>45919</v>
      </c>
      <c r="B370" s="29">
        <f>+B368+1</f>
        <v>45919</v>
      </c>
      <c r="C370" s="30">
        <f t="shared" si="25"/>
        <v>45919</v>
      </c>
      <c r="D370" s="36">
        <f t="shared" si="26"/>
        <v>38</v>
      </c>
      <c r="E370" s="32">
        <v>4</v>
      </c>
      <c r="F370" s="67" t="s">
        <v>130</v>
      </c>
      <c r="G370" s="43" t="s">
        <v>137</v>
      </c>
      <c r="H370" s="43" t="s">
        <v>165</v>
      </c>
      <c r="I370" s="44"/>
      <c r="J370" s="35"/>
    </row>
    <row r="371" spans="1:10" x14ac:dyDescent="0.25">
      <c r="A371" s="28">
        <v>45919</v>
      </c>
      <c r="B371" s="29">
        <v>45919</v>
      </c>
      <c r="C371" s="30">
        <v>45919</v>
      </c>
      <c r="D371" s="36">
        <v>38</v>
      </c>
      <c r="E371" s="32">
        <v>2</v>
      </c>
      <c r="F371" s="67" t="s">
        <v>34</v>
      </c>
      <c r="G371" s="43" t="s">
        <v>35</v>
      </c>
      <c r="H371" s="43" t="s">
        <v>162</v>
      </c>
      <c r="I371" s="44"/>
      <c r="J371" s="35">
        <f>SUM(E363:E371)</f>
        <v>40</v>
      </c>
    </row>
    <row r="372" spans="1:10" hidden="1" x14ac:dyDescent="0.25">
      <c r="A372" s="28">
        <f t="shared" si="24"/>
        <v>45920</v>
      </c>
      <c r="B372" s="29">
        <f>+B370+1</f>
        <v>45920</v>
      </c>
      <c r="C372" s="30">
        <f t="shared" si="25"/>
        <v>45920</v>
      </c>
      <c r="D372" s="36">
        <f t="shared" si="26"/>
        <v>38</v>
      </c>
      <c r="E372" s="32"/>
      <c r="F372" s="67"/>
      <c r="G372" s="43"/>
      <c r="H372" s="43"/>
      <c r="I372" s="44"/>
      <c r="J372" s="35"/>
    </row>
    <row r="373" spans="1:10" hidden="1" x14ac:dyDescent="0.25">
      <c r="A373" s="28">
        <f t="shared" si="24"/>
        <v>45921</v>
      </c>
      <c r="B373" s="29">
        <f t="shared" si="23"/>
        <v>45921</v>
      </c>
      <c r="C373" s="30">
        <f t="shared" si="25"/>
        <v>45921</v>
      </c>
      <c r="D373" s="36">
        <f t="shared" si="26"/>
        <v>39</v>
      </c>
      <c r="E373" s="32"/>
      <c r="F373" s="67"/>
      <c r="G373" s="43"/>
      <c r="H373" s="43"/>
      <c r="I373" s="44"/>
      <c r="J373" s="35"/>
    </row>
    <row r="374" spans="1:10" hidden="1" x14ac:dyDescent="0.25">
      <c r="A374" s="28">
        <f t="shared" si="24"/>
        <v>45922</v>
      </c>
      <c r="B374" s="29">
        <f t="shared" si="23"/>
        <v>45922</v>
      </c>
      <c r="C374" s="30">
        <f t="shared" si="25"/>
        <v>45922</v>
      </c>
      <c r="D374" s="36">
        <f t="shared" si="26"/>
        <v>39</v>
      </c>
      <c r="E374" s="32">
        <v>8.5</v>
      </c>
      <c r="F374" s="67" t="s">
        <v>130</v>
      </c>
      <c r="G374" s="43" t="s">
        <v>137</v>
      </c>
      <c r="H374" s="43" t="s">
        <v>165</v>
      </c>
      <c r="I374" s="44"/>
      <c r="J374" s="35"/>
    </row>
    <row r="375" spans="1:10" hidden="1" x14ac:dyDescent="0.25">
      <c r="A375" s="28">
        <f t="shared" si="24"/>
        <v>45923</v>
      </c>
      <c r="B375" s="29">
        <f t="shared" si="23"/>
        <v>45923</v>
      </c>
      <c r="C375" s="30">
        <f t="shared" si="25"/>
        <v>45923</v>
      </c>
      <c r="D375" s="36">
        <f t="shared" si="26"/>
        <v>39</v>
      </c>
      <c r="E375" s="32">
        <v>1.5</v>
      </c>
      <c r="F375" s="67" t="s">
        <v>15</v>
      </c>
      <c r="G375" s="43" t="s">
        <v>16</v>
      </c>
      <c r="H375" s="43" t="s">
        <v>17</v>
      </c>
      <c r="I375" s="44"/>
      <c r="J375" s="35"/>
    </row>
    <row r="376" spans="1:10" hidden="1" x14ac:dyDescent="0.25">
      <c r="A376" s="28">
        <v>45923</v>
      </c>
      <c r="B376" s="29">
        <v>45923</v>
      </c>
      <c r="C376" s="30">
        <v>45923</v>
      </c>
      <c r="D376" s="36">
        <v>39</v>
      </c>
      <c r="E376" s="32">
        <v>1</v>
      </c>
      <c r="F376" s="67" t="s">
        <v>15</v>
      </c>
      <c r="G376" s="43" t="s">
        <v>19</v>
      </c>
      <c r="H376" s="43" t="s">
        <v>166</v>
      </c>
      <c r="I376" s="44"/>
      <c r="J376" s="35"/>
    </row>
    <row r="377" spans="1:10" hidden="1" x14ac:dyDescent="0.25">
      <c r="A377" s="28">
        <v>45923</v>
      </c>
      <c r="B377" s="29">
        <v>45923</v>
      </c>
      <c r="C377" s="30">
        <v>45923</v>
      </c>
      <c r="D377" s="36">
        <v>39</v>
      </c>
      <c r="E377" s="32">
        <v>6</v>
      </c>
      <c r="F377" s="67" t="s">
        <v>130</v>
      </c>
      <c r="G377" s="43" t="s">
        <v>137</v>
      </c>
      <c r="H377" s="43" t="s">
        <v>165</v>
      </c>
      <c r="I377" s="44"/>
      <c r="J377" s="35"/>
    </row>
    <row r="378" spans="1:10" hidden="1" x14ac:dyDescent="0.25">
      <c r="A378" s="28">
        <f t="shared" si="24"/>
        <v>45924</v>
      </c>
      <c r="B378" s="29">
        <f>+B375+1</f>
        <v>45924</v>
      </c>
      <c r="C378" s="30">
        <f t="shared" si="25"/>
        <v>45924</v>
      </c>
      <c r="D378" s="36">
        <f t="shared" si="26"/>
        <v>39</v>
      </c>
      <c r="E378" s="32">
        <v>8.5</v>
      </c>
      <c r="F378" s="67" t="s">
        <v>130</v>
      </c>
      <c r="G378" s="43" t="s">
        <v>137</v>
      </c>
      <c r="H378" s="43" t="s">
        <v>167</v>
      </c>
      <c r="I378" s="44"/>
      <c r="J378" s="35"/>
    </row>
    <row r="379" spans="1:10" hidden="1" x14ac:dyDescent="0.25">
      <c r="A379" s="28">
        <f t="shared" si="24"/>
        <v>45925</v>
      </c>
      <c r="B379" s="29">
        <f t="shared" ref="B379:B442" si="27">+B378+1</f>
        <v>45925</v>
      </c>
      <c r="C379" s="30">
        <f t="shared" si="25"/>
        <v>45925</v>
      </c>
      <c r="D379" s="36">
        <f t="shared" si="26"/>
        <v>39</v>
      </c>
      <c r="E379" s="32">
        <v>6.5</v>
      </c>
      <c r="F379" s="67" t="s">
        <v>130</v>
      </c>
      <c r="G379" s="43" t="s">
        <v>137</v>
      </c>
      <c r="H379" s="43" t="s">
        <v>167</v>
      </c>
      <c r="I379" s="44"/>
      <c r="J379" s="35"/>
    </row>
    <row r="380" spans="1:10" x14ac:dyDescent="0.25">
      <c r="A380" s="28">
        <v>45925</v>
      </c>
      <c r="B380" s="29">
        <v>45925</v>
      </c>
      <c r="C380" s="30">
        <v>45925</v>
      </c>
      <c r="D380" s="36">
        <v>39</v>
      </c>
      <c r="E380" s="32">
        <v>2</v>
      </c>
      <c r="F380" s="67" t="s">
        <v>34</v>
      </c>
      <c r="G380" s="43" t="s">
        <v>35</v>
      </c>
      <c r="H380" s="43" t="s">
        <v>168</v>
      </c>
      <c r="I380" s="44"/>
      <c r="J380" s="35"/>
    </row>
    <row r="381" spans="1:10" hidden="1" x14ac:dyDescent="0.25">
      <c r="A381" s="28">
        <f t="shared" si="24"/>
        <v>45926</v>
      </c>
      <c r="B381" s="29">
        <f>+B379+1</f>
        <v>45926</v>
      </c>
      <c r="C381" s="30">
        <f t="shared" si="25"/>
        <v>45926</v>
      </c>
      <c r="D381" s="36">
        <f t="shared" si="26"/>
        <v>39</v>
      </c>
      <c r="E381" s="32">
        <v>6</v>
      </c>
      <c r="F381" s="67" t="s">
        <v>130</v>
      </c>
      <c r="G381" s="43" t="s">
        <v>137</v>
      </c>
      <c r="H381" s="43" t="s">
        <v>167</v>
      </c>
      <c r="I381" s="44"/>
      <c r="J381" s="35">
        <f>SUM(E374:E381)</f>
        <v>40</v>
      </c>
    </row>
    <row r="382" spans="1:10" hidden="1" x14ac:dyDescent="0.25">
      <c r="A382" s="28">
        <f t="shared" si="24"/>
        <v>45927</v>
      </c>
      <c r="B382" s="29">
        <f t="shared" si="27"/>
        <v>45927</v>
      </c>
      <c r="C382" s="30">
        <f t="shared" si="25"/>
        <v>45927</v>
      </c>
      <c r="D382" s="36">
        <f t="shared" si="26"/>
        <v>39</v>
      </c>
      <c r="E382" s="32"/>
      <c r="F382" s="67"/>
      <c r="G382" s="43"/>
      <c r="H382" s="43"/>
      <c r="I382" s="44"/>
      <c r="J382" s="35"/>
    </row>
    <row r="383" spans="1:10" hidden="1" x14ac:dyDescent="0.25">
      <c r="A383" s="28">
        <f t="shared" si="24"/>
        <v>45928</v>
      </c>
      <c r="B383" s="29">
        <f t="shared" si="27"/>
        <v>45928</v>
      </c>
      <c r="C383" s="30">
        <f t="shared" si="25"/>
        <v>45928</v>
      </c>
      <c r="D383" s="36">
        <f t="shared" si="26"/>
        <v>40</v>
      </c>
      <c r="E383" s="32"/>
      <c r="F383" s="67"/>
      <c r="G383" s="43"/>
      <c r="H383" s="43"/>
      <c r="I383" s="44"/>
      <c r="J383" s="35"/>
    </row>
    <row r="384" spans="1:10" hidden="1" x14ac:dyDescent="0.25">
      <c r="A384" s="28">
        <f t="shared" si="24"/>
        <v>45929</v>
      </c>
      <c r="B384" s="29">
        <f t="shared" si="27"/>
        <v>45929</v>
      </c>
      <c r="C384" s="30">
        <f t="shared" si="25"/>
        <v>45929</v>
      </c>
      <c r="D384" s="36">
        <f t="shared" si="26"/>
        <v>40</v>
      </c>
      <c r="E384" s="32">
        <v>8.5</v>
      </c>
      <c r="F384" s="67" t="s">
        <v>130</v>
      </c>
      <c r="G384" s="43" t="s">
        <v>137</v>
      </c>
      <c r="H384" s="43" t="s">
        <v>167</v>
      </c>
      <c r="I384" s="44"/>
      <c r="J384" s="35"/>
    </row>
    <row r="385" spans="1:10" hidden="1" x14ac:dyDescent="0.25">
      <c r="A385" s="28">
        <f t="shared" si="24"/>
        <v>45930</v>
      </c>
      <c r="B385" s="29">
        <f t="shared" si="27"/>
        <v>45930</v>
      </c>
      <c r="C385" s="30">
        <f t="shared" si="25"/>
        <v>45930</v>
      </c>
      <c r="D385" s="36">
        <f t="shared" si="26"/>
        <v>40</v>
      </c>
      <c r="E385" s="32">
        <v>1.5</v>
      </c>
      <c r="F385" s="67" t="s">
        <v>15</v>
      </c>
      <c r="G385" s="43" t="s">
        <v>16</v>
      </c>
      <c r="H385" s="43" t="s">
        <v>17</v>
      </c>
      <c r="I385" s="44"/>
      <c r="J385" s="35"/>
    </row>
    <row r="386" spans="1:10" hidden="1" x14ac:dyDescent="0.25">
      <c r="A386" s="28">
        <v>45930</v>
      </c>
      <c r="B386" s="29">
        <v>45930</v>
      </c>
      <c r="C386" s="30">
        <v>45930</v>
      </c>
      <c r="D386" s="36">
        <v>40</v>
      </c>
      <c r="E386" s="32">
        <v>7</v>
      </c>
      <c r="F386" s="67" t="s">
        <v>130</v>
      </c>
      <c r="G386" s="43" t="s">
        <v>137</v>
      </c>
      <c r="H386" s="43" t="s">
        <v>167</v>
      </c>
      <c r="I386" s="44"/>
      <c r="J386" s="35"/>
    </row>
    <row r="387" spans="1:10" hidden="1" x14ac:dyDescent="0.25">
      <c r="A387" s="28">
        <f t="shared" si="24"/>
        <v>45931</v>
      </c>
      <c r="B387" s="29">
        <f>+B385+1</f>
        <v>45931</v>
      </c>
      <c r="C387" s="30">
        <f t="shared" si="25"/>
        <v>45931</v>
      </c>
      <c r="D387" s="36">
        <f t="shared" si="26"/>
        <v>40</v>
      </c>
      <c r="E387" s="32">
        <v>8.5</v>
      </c>
      <c r="F387" s="67" t="s">
        <v>130</v>
      </c>
      <c r="G387" s="43" t="s">
        <v>137</v>
      </c>
      <c r="H387" s="43" t="s">
        <v>167</v>
      </c>
      <c r="I387" s="44"/>
      <c r="J387" s="35"/>
    </row>
    <row r="388" spans="1:10" hidden="1" x14ac:dyDescent="0.25">
      <c r="A388" s="28">
        <f t="shared" si="24"/>
        <v>45932</v>
      </c>
      <c r="B388" s="29">
        <f>+B387+1</f>
        <v>45932</v>
      </c>
      <c r="C388" s="30">
        <f t="shared" si="25"/>
        <v>45932</v>
      </c>
      <c r="D388" s="36">
        <f t="shared" si="26"/>
        <v>40</v>
      </c>
      <c r="E388" s="32">
        <v>1.5</v>
      </c>
      <c r="F388" s="67" t="s">
        <v>15</v>
      </c>
      <c r="G388" s="43" t="s">
        <v>16</v>
      </c>
      <c r="H388" s="43" t="s">
        <v>17</v>
      </c>
      <c r="I388" s="44"/>
      <c r="J388" s="35"/>
    </row>
    <row r="389" spans="1:10" hidden="1" x14ac:dyDescent="0.25">
      <c r="A389" s="28">
        <v>45932</v>
      </c>
      <c r="B389" s="29">
        <v>45932</v>
      </c>
      <c r="C389" s="30">
        <v>45932</v>
      </c>
      <c r="D389" s="36">
        <v>40</v>
      </c>
      <c r="E389" s="32">
        <v>7</v>
      </c>
      <c r="F389" s="67" t="s">
        <v>130</v>
      </c>
      <c r="G389" s="43" t="s">
        <v>137</v>
      </c>
      <c r="H389" s="43" t="s">
        <v>167</v>
      </c>
      <c r="I389" s="44"/>
      <c r="J389" s="35"/>
    </row>
    <row r="390" spans="1:10" hidden="1" x14ac:dyDescent="0.25">
      <c r="A390" s="28">
        <f t="shared" si="24"/>
        <v>45933</v>
      </c>
      <c r="B390" s="29">
        <f>+B388+1</f>
        <v>45933</v>
      </c>
      <c r="C390" s="30">
        <f t="shared" si="25"/>
        <v>45933</v>
      </c>
      <c r="D390" s="36">
        <f t="shared" si="26"/>
        <v>40</v>
      </c>
      <c r="E390" s="32">
        <v>6</v>
      </c>
      <c r="F390" s="67" t="s">
        <v>130</v>
      </c>
      <c r="G390" s="43" t="s">
        <v>137</v>
      </c>
      <c r="H390" s="43" t="s">
        <v>167</v>
      </c>
      <c r="I390" s="44"/>
      <c r="J390" s="35">
        <f>SUM(E384:E390)</f>
        <v>40</v>
      </c>
    </row>
    <row r="391" spans="1:10" ht="15" hidden="1" customHeight="1" x14ac:dyDescent="0.25">
      <c r="A391" s="28">
        <f t="shared" si="24"/>
        <v>45934</v>
      </c>
      <c r="B391" s="29">
        <f t="shared" si="27"/>
        <v>45934</v>
      </c>
      <c r="C391" s="30">
        <f t="shared" si="25"/>
        <v>45934</v>
      </c>
      <c r="D391" s="36">
        <f t="shared" si="26"/>
        <v>40</v>
      </c>
      <c r="E391" s="32"/>
      <c r="F391" s="67"/>
      <c r="G391" s="43"/>
      <c r="H391" s="43"/>
      <c r="I391" s="44"/>
      <c r="J391" s="35"/>
    </row>
    <row r="392" spans="1:10" hidden="1" x14ac:dyDescent="0.25">
      <c r="A392" s="28">
        <f t="shared" si="24"/>
        <v>45935</v>
      </c>
      <c r="B392" s="29">
        <f t="shared" si="27"/>
        <v>45935</v>
      </c>
      <c r="C392" s="30">
        <f t="shared" si="25"/>
        <v>45935</v>
      </c>
      <c r="D392" s="36">
        <f t="shared" si="26"/>
        <v>41</v>
      </c>
      <c r="E392" s="32"/>
      <c r="F392" s="67"/>
      <c r="G392" s="43"/>
      <c r="H392" s="43"/>
      <c r="I392" s="44"/>
      <c r="J392" s="35"/>
    </row>
    <row r="393" spans="1:10" hidden="1" x14ac:dyDescent="0.25">
      <c r="A393" s="28">
        <f t="shared" si="24"/>
        <v>45936</v>
      </c>
      <c r="B393" s="29">
        <f t="shared" si="27"/>
        <v>45936</v>
      </c>
      <c r="C393" s="30">
        <f t="shared" si="25"/>
        <v>45936</v>
      </c>
      <c r="D393" s="36">
        <f t="shared" si="26"/>
        <v>41</v>
      </c>
      <c r="E393" s="32">
        <v>4</v>
      </c>
      <c r="F393" s="67" t="s">
        <v>130</v>
      </c>
      <c r="G393" s="43" t="s">
        <v>137</v>
      </c>
      <c r="H393" s="43" t="s">
        <v>167</v>
      </c>
      <c r="I393" s="44"/>
      <c r="J393" s="35"/>
    </row>
    <row r="394" spans="1:10" hidden="1" x14ac:dyDescent="0.25">
      <c r="A394" s="28">
        <v>45936</v>
      </c>
      <c r="B394" s="29">
        <v>45936</v>
      </c>
      <c r="C394" s="30">
        <v>45936</v>
      </c>
      <c r="D394" s="36">
        <v>41</v>
      </c>
      <c r="E394" s="32">
        <v>4.5</v>
      </c>
      <c r="F394" s="67" t="s">
        <v>58</v>
      </c>
      <c r="G394" s="43" t="s">
        <v>16</v>
      </c>
      <c r="H394" s="43" t="s">
        <v>169</v>
      </c>
      <c r="I394" s="44"/>
      <c r="J394" s="35"/>
    </row>
    <row r="395" spans="1:10" hidden="1" x14ac:dyDescent="0.25">
      <c r="A395" s="28">
        <f t="shared" si="24"/>
        <v>45937</v>
      </c>
      <c r="B395" s="29">
        <f>+B393+1</f>
        <v>45937</v>
      </c>
      <c r="C395" s="30">
        <f t="shared" si="25"/>
        <v>45937</v>
      </c>
      <c r="D395" s="36">
        <f t="shared" si="26"/>
        <v>41</v>
      </c>
      <c r="E395" s="32">
        <v>2</v>
      </c>
      <c r="F395" s="67" t="s">
        <v>130</v>
      </c>
      <c r="G395" s="43" t="s">
        <v>137</v>
      </c>
      <c r="H395" s="43" t="s">
        <v>167</v>
      </c>
      <c r="I395" s="44"/>
      <c r="J395" s="35"/>
    </row>
    <row r="396" spans="1:10" hidden="1" x14ac:dyDescent="0.25">
      <c r="A396" s="28">
        <v>45937</v>
      </c>
      <c r="B396" s="29">
        <v>45937</v>
      </c>
      <c r="C396" s="30">
        <v>45937</v>
      </c>
      <c r="D396" s="36">
        <v>41</v>
      </c>
      <c r="E396" s="32">
        <v>6.5</v>
      </c>
      <c r="F396" s="67" t="s">
        <v>58</v>
      </c>
      <c r="G396" s="43" t="s">
        <v>16</v>
      </c>
      <c r="H396" s="43" t="s">
        <v>169</v>
      </c>
      <c r="I396" s="44"/>
      <c r="J396" s="35"/>
    </row>
    <row r="397" spans="1:10" hidden="1" x14ac:dyDescent="0.25">
      <c r="A397" s="28">
        <v>45937</v>
      </c>
      <c r="B397" s="29">
        <v>45937</v>
      </c>
      <c r="C397" s="30">
        <v>45937</v>
      </c>
      <c r="D397" s="36">
        <v>41</v>
      </c>
      <c r="E397" s="58">
        <v>0</v>
      </c>
      <c r="F397" s="68" t="s">
        <v>15</v>
      </c>
      <c r="G397" s="69" t="s">
        <v>16</v>
      </c>
      <c r="H397" s="69" t="s">
        <v>22</v>
      </c>
      <c r="I397" s="44"/>
      <c r="J397" s="35"/>
    </row>
    <row r="398" spans="1:10" hidden="1" x14ac:dyDescent="0.25">
      <c r="A398" s="28">
        <f t="shared" si="24"/>
        <v>45938</v>
      </c>
      <c r="B398" s="29">
        <f>+B395+1</f>
        <v>45938</v>
      </c>
      <c r="C398" s="30">
        <f t="shared" si="25"/>
        <v>45938</v>
      </c>
      <c r="D398" s="36">
        <f t="shared" si="26"/>
        <v>41</v>
      </c>
      <c r="E398" s="32">
        <v>8.5</v>
      </c>
      <c r="F398" s="67" t="s">
        <v>130</v>
      </c>
      <c r="G398" s="43" t="s">
        <v>137</v>
      </c>
      <c r="H398" s="43" t="s">
        <v>167</v>
      </c>
      <c r="I398" s="44"/>
      <c r="J398" s="35"/>
    </row>
    <row r="399" spans="1:10" hidden="1" x14ac:dyDescent="0.25">
      <c r="A399" s="28">
        <f t="shared" si="24"/>
        <v>45939</v>
      </c>
      <c r="B399" s="29">
        <f t="shared" si="27"/>
        <v>45939</v>
      </c>
      <c r="C399" s="30">
        <f t="shared" si="25"/>
        <v>45939</v>
      </c>
      <c r="D399" s="36">
        <f t="shared" si="26"/>
        <v>41</v>
      </c>
      <c r="E399" s="32">
        <v>1.5</v>
      </c>
      <c r="F399" s="67" t="s">
        <v>15</v>
      </c>
      <c r="G399" s="43" t="s">
        <v>16</v>
      </c>
      <c r="H399" s="43" t="s">
        <v>17</v>
      </c>
      <c r="I399" s="44"/>
      <c r="J399" s="35"/>
    </row>
    <row r="400" spans="1:10" hidden="1" x14ac:dyDescent="0.25">
      <c r="A400" s="28">
        <v>45939</v>
      </c>
      <c r="B400" s="29">
        <v>45939</v>
      </c>
      <c r="C400" s="30">
        <v>45939</v>
      </c>
      <c r="D400" s="36">
        <v>41</v>
      </c>
      <c r="E400" s="32">
        <v>7</v>
      </c>
      <c r="F400" s="67" t="s">
        <v>130</v>
      </c>
      <c r="G400" s="43" t="s">
        <v>137</v>
      </c>
      <c r="H400" s="43" t="s">
        <v>167</v>
      </c>
      <c r="I400" s="44"/>
      <c r="J400" s="35"/>
    </row>
    <row r="401" spans="1:10" hidden="1" x14ac:dyDescent="0.25">
      <c r="A401" s="28">
        <f t="shared" si="24"/>
        <v>45940</v>
      </c>
      <c r="B401" s="29">
        <f>+B399+1</f>
        <v>45940</v>
      </c>
      <c r="C401" s="30">
        <f t="shared" si="25"/>
        <v>45940</v>
      </c>
      <c r="D401" s="36">
        <f t="shared" si="26"/>
        <v>41</v>
      </c>
      <c r="E401" s="32">
        <v>6</v>
      </c>
      <c r="F401" s="67" t="s">
        <v>82</v>
      </c>
      <c r="G401" s="43" t="s">
        <v>83</v>
      </c>
      <c r="H401" s="43" t="s">
        <v>39</v>
      </c>
      <c r="I401" s="44"/>
      <c r="J401" s="35">
        <f>SUM(E393:E401)</f>
        <v>40</v>
      </c>
    </row>
    <row r="402" spans="1:10" hidden="1" x14ac:dyDescent="0.25">
      <c r="A402" s="28">
        <f t="shared" si="24"/>
        <v>45941</v>
      </c>
      <c r="B402" s="29">
        <f t="shared" si="27"/>
        <v>45941</v>
      </c>
      <c r="C402" s="30">
        <f t="shared" si="25"/>
        <v>45941</v>
      </c>
      <c r="D402" s="36">
        <f t="shared" si="26"/>
        <v>41</v>
      </c>
      <c r="E402" s="32"/>
      <c r="F402" s="67"/>
      <c r="G402" s="43"/>
      <c r="H402" s="43"/>
      <c r="I402" s="44"/>
      <c r="J402" s="35"/>
    </row>
    <row r="403" spans="1:10" hidden="1" x14ac:dyDescent="0.25">
      <c r="A403" s="28">
        <f t="shared" si="24"/>
        <v>45942</v>
      </c>
      <c r="B403" s="29">
        <f t="shared" si="27"/>
        <v>45942</v>
      </c>
      <c r="C403" s="30">
        <f t="shared" si="25"/>
        <v>45942</v>
      </c>
      <c r="D403" s="36">
        <f t="shared" si="26"/>
        <v>42</v>
      </c>
      <c r="E403" s="32"/>
      <c r="F403" s="67"/>
      <c r="G403" s="43"/>
      <c r="H403" s="43"/>
      <c r="I403" s="44"/>
      <c r="J403" s="35"/>
    </row>
    <row r="404" spans="1:10" hidden="1" x14ac:dyDescent="0.25">
      <c r="A404" s="28">
        <f t="shared" si="24"/>
        <v>45943</v>
      </c>
      <c r="B404" s="29">
        <f t="shared" si="27"/>
        <v>45943</v>
      </c>
      <c r="C404" s="30">
        <f t="shared" si="25"/>
        <v>45943</v>
      </c>
      <c r="D404" s="36">
        <f t="shared" si="26"/>
        <v>42</v>
      </c>
      <c r="E404" s="32">
        <v>8.5</v>
      </c>
      <c r="F404" s="67" t="s">
        <v>130</v>
      </c>
      <c r="G404" s="43" t="s">
        <v>137</v>
      </c>
      <c r="H404" s="43" t="s">
        <v>167</v>
      </c>
      <c r="I404" s="44"/>
      <c r="J404" s="35"/>
    </row>
    <row r="405" spans="1:10" hidden="1" x14ac:dyDescent="0.25">
      <c r="A405" s="28">
        <f t="shared" si="24"/>
        <v>45944</v>
      </c>
      <c r="B405" s="29">
        <f t="shared" si="27"/>
        <v>45944</v>
      </c>
      <c r="C405" s="30">
        <f t="shared" si="25"/>
        <v>45944</v>
      </c>
      <c r="D405" s="36">
        <f t="shared" si="26"/>
        <v>42</v>
      </c>
      <c r="E405" s="32">
        <v>1.5</v>
      </c>
      <c r="F405" s="67" t="s">
        <v>15</v>
      </c>
      <c r="G405" s="43" t="s">
        <v>16</v>
      </c>
      <c r="H405" s="43" t="s">
        <v>17</v>
      </c>
      <c r="I405" s="44"/>
      <c r="J405" s="35"/>
    </row>
    <row r="406" spans="1:10" hidden="1" x14ac:dyDescent="0.25">
      <c r="A406" s="28">
        <v>45944</v>
      </c>
      <c r="B406" s="29">
        <v>45944</v>
      </c>
      <c r="C406" s="30">
        <v>45944</v>
      </c>
      <c r="D406" s="36">
        <v>42</v>
      </c>
      <c r="E406" s="32">
        <v>7</v>
      </c>
      <c r="F406" s="67" t="s">
        <v>130</v>
      </c>
      <c r="G406" s="43" t="s">
        <v>137</v>
      </c>
      <c r="H406" s="43" t="s">
        <v>167</v>
      </c>
      <c r="I406" s="44"/>
      <c r="J406" s="35"/>
    </row>
    <row r="407" spans="1:10" hidden="1" x14ac:dyDescent="0.25">
      <c r="A407" s="28">
        <f t="shared" si="24"/>
        <v>45945</v>
      </c>
      <c r="B407" s="29">
        <f>+B405+1</f>
        <v>45945</v>
      </c>
      <c r="C407" s="30">
        <f t="shared" si="25"/>
        <v>45945</v>
      </c>
      <c r="D407" s="36">
        <f t="shared" si="26"/>
        <v>42</v>
      </c>
      <c r="E407" s="32">
        <v>8.5</v>
      </c>
      <c r="F407" s="67" t="s">
        <v>130</v>
      </c>
      <c r="G407" s="43" t="s">
        <v>131</v>
      </c>
      <c r="H407" s="43" t="s">
        <v>170</v>
      </c>
      <c r="I407" s="44"/>
      <c r="J407" s="35"/>
    </row>
    <row r="408" spans="1:10" hidden="1" x14ac:dyDescent="0.25">
      <c r="A408" s="28">
        <f t="shared" si="24"/>
        <v>45946</v>
      </c>
      <c r="B408" s="29">
        <f t="shared" si="27"/>
        <v>45946</v>
      </c>
      <c r="C408" s="30">
        <f t="shared" si="25"/>
        <v>45946</v>
      </c>
      <c r="D408" s="36">
        <f t="shared" si="26"/>
        <v>42</v>
      </c>
      <c r="E408" s="32">
        <v>1.5</v>
      </c>
      <c r="F408" s="67" t="s">
        <v>15</v>
      </c>
      <c r="G408" s="43" t="s">
        <v>16</v>
      </c>
      <c r="H408" s="43" t="s">
        <v>17</v>
      </c>
      <c r="I408" s="44"/>
      <c r="J408" s="35"/>
    </row>
    <row r="409" spans="1:10" hidden="1" x14ac:dyDescent="0.25">
      <c r="A409" s="28">
        <v>45946</v>
      </c>
      <c r="B409" s="29">
        <v>45946</v>
      </c>
      <c r="C409" s="30">
        <v>45946</v>
      </c>
      <c r="D409" s="36">
        <v>42</v>
      </c>
      <c r="E409" s="32">
        <v>7</v>
      </c>
      <c r="F409" s="67" t="s">
        <v>130</v>
      </c>
      <c r="G409" s="43" t="s">
        <v>131</v>
      </c>
      <c r="H409" s="43" t="s">
        <v>170</v>
      </c>
      <c r="I409" s="44"/>
      <c r="J409" s="35"/>
    </row>
    <row r="410" spans="1:10" hidden="1" x14ac:dyDescent="0.25">
      <c r="A410" s="28">
        <f t="shared" si="24"/>
        <v>45947</v>
      </c>
      <c r="B410" s="29">
        <f>+B408+1</f>
        <v>45947</v>
      </c>
      <c r="C410" s="30">
        <f t="shared" si="25"/>
        <v>45947</v>
      </c>
      <c r="D410" s="36">
        <f t="shared" si="26"/>
        <v>42</v>
      </c>
      <c r="E410" s="32">
        <v>6</v>
      </c>
      <c r="F410" s="67" t="s">
        <v>130</v>
      </c>
      <c r="G410" s="43" t="s">
        <v>131</v>
      </c>
      <c r="H410" s="43" t="s">
        <v>170</v>
      </c>
      <c r="I410" s="44"/>
      <c r="J410" s="35">
        <f>SUM(E404:E410)</f>
        <v>40</v>
      </c>
    </row>
    <row r="411" spans="1:10" hidden="1" x14ac:dyDescent="0.25">
      <c r="A411" s="28">
        <f t="shared" si="24"/>
        <v>45948</v>
      </c>
      <c r="B411" s="29">
        <f t="shared" si="27"/>
        <v>45948</v>
      </c>
      <c r="C411" s="30">
        <f t="shared" si="25"/>
        <v>45948</v>
      </c>
      <c r="D411" s="36">
        <f t="shared" si="26"/>
        <v>42</v>
      </c>
      <c r="E411" s="32"/>
      <c r="F411" s="67"/>
      <c r="G411" s="43"/>
      <c r="H411" s="43"/>
      <c r="I411" s="44"/>
      <c r="J411" s="35"/>
    </row>
    <row r="412" spans="1:10" hidden="1" x14ac:dyDescent="0.25">
      <c r="A412" s="28">
        <f t="shared" si="24"/>
        <v>45949</v>
      </c>
      <c r="B412" s="29">
        <f t="shared" si="27"/>
        <v>45949</v>
      </c>
      <c r="C412" s="30">
        <f t="shared" si="25"/>
        <v>45949</v>
      </c>
      <c r="D412" s="36">
        <f t="shared" si="26"/>
        <v>43</v>
      </c>
      <c r="E412" s="32"/>
      <c r="F412" s="67"/>
      <c r="G412" s="43"/>
      <c r="H412" s="43"/>
      <c r="I412" s="44"/>
      <c r="J412" s="35"/>
    </row>
    <row r="413" spans="1:10" hidden="1" x14ac:dyDescent="0.25">
      <c r="A413" s="28">
        <f t="shared" si="24"/>
        <v>45950</v>
      </c>
      <c r="B413" s="29">
        <f t="shared" si="27"/>
        <v>45950</v>
      </c>
      <c r="C413" s="30">
        <f t="shared" si="25"/>
        <v>45950</v>
      </c>
      <c r="D413" s="36">
        <f t="shared" si="26"/>
        <v>43</v>
      </c>
      <c r="E413" s="32">
        <v>8.5</v>
      </c>
      <c r="F413" s="67" t="s">
        <v>130</v>
      </c>
      <c r="G413" s="43" t="s">
        <v>131</v>
      </c>
      <c r="H413" s="43" t="s">
        <v>170</v>
      </c>
      <c r="I413" s="44"/>
      <c r="J413" s="35"/>
    </row>
    <row r="414" spans="1:10" hidden="1" x14ac:dyDescent="0.25">
      <c r="A414" s="28">
        <f t="shared" si="24"/>
        <v>45951</v>
      </c>
      <c r="B414" s="29">
        <f t="shared" si="27"/>
        <v>45951</v>
      </c>
      <c r="C414" s="30">
        <f t="shared" si="25"/>
        <v>45951</v>
      </c>
      <c r="D414" s="36">
        <f t="shared" si="26"/>
        <v>43</v>
      </c>
      <c r="E414" s="32">
        <v>1.5</v>
      </c>
      <c r="F414" s="67" t="s">
        <v>15</v>
      </c>
      <c r="G414" s="43" t="s">
        <v>16</v>
      </c>
      <c r="H414" s="43" t="s">
        <v>17</v>
      </c>
      <c r="I414" s="44"/>
      <c r="J414" s="35"/>
    </row>
    <row r="415" spans="1:10" hidden="1" x14ac:dyDescent="0.25">
      <c r="A415" s="28">
        <v>45951</v>
      </c>
      <c r="B415" s="29">
        <v>45951</v>
      </c>
      <c r="C415" s="30">
        <v>45951</v>
      </c>
      <c r="D415" s="36">
        <v>43</v>
      </c>
      <c r="E415" s="32">
        <v>7</v>
      </c>
      <c r="F415" s="67" t="s">
        <v>130</v>
      </c>
      <c r="G415" s="43" t="s">
        <v>137</v>
      </c>
      <c r="H415" s="43" t="s">
        <v>167</v>
      </c>
      <c r="I415" s="44"/>
      <c r="J415" s="35"/>
    </row>
    <row r="416" spans="1:10" hidden="1" x14ac:dyDescent="0.25">
      <c r="A416" s="28">
        <f t="shared" si="24"/>
        <v>45952</v>
      </c>
      <c r="B416" s="29">
        <f>+B414+1</f>
        <v>45952</v>
      </c>
      <c r="C416" s="30">
        <f t="shared" si="25"/>
        <v>45952</v>
      </c>
      <c r="D416" s="36">
        <f t="shared" si="26"/>
        <v>43</v>
      </c>
      <c r="E416" s="32">
        <v>8.5</v>
      </c>
      <c r="F416" s="67" t="s">
        <v>130</v>
      </c>
      <c r="G416" s="43" t="s">
        <v>137</v>
      </c>
      <c r="H416" s="43" t="s">
        <v>167</v>
      </c>
      <c r="I416" s="44"/>
      <c r="J416" s="35"/>
    </row>
    <row r="417" spans="1:10" hidden="1" x14ac:dyDescent="0.25">
      <c r="A417" s="28">
        <f t="shared" si="24"/>
        <v>45953</v>
      </c>
      <c r="B417" s="29">
        <f t="shared" si="27"/>
        <v>45953</v>
      </c>
      <c r="C417" s="30">
        <f t="shared" si="25"/>
        <v>45953</v>
      </c>
      <c r="D417" s="36">
        <f t="shared" si="26"/>
        <v>43</v>
      </c>
      <c r="E417" s="32">
        <v>1.5</v>
      </c>
      <c r="F417" s="67" t="s">
        <v>15</v>
      </c>
      <c r="G417" s="43" t="s">
        <v>16</v>
      </c>
      <c r="H417" s="43" t="s">
        <v>17</v>
      </c>
      <c r="I417" s="44"/>
      <c r="J417" s="35"/>
    </row>
    <row r="418" spans="1:10" x14ac:dyDescent="0.25">
      <c r="A418" s="28">
        <v>45953</v>
      </c>
      <c r="B418" s="29">
        <v>45953</v>
      </c>
      <c r="C418" s="30">
        <v>45953</v>
      </c>
      <c r="D418" s="36">
        <v>43</v>
      </c>
      <c r="E418" s="32">
        <v>2</v>
      </c>
      <c r="F418" s="67" t="s">
        <v>34</v>
      </c>
      <c r="G418" s="43" t="s">
        <v>35</v>
      </c>
      <c r="H418" s="43" t="s">
        <v>171</v>
      </c>
      <c r="I418" s="44"/>
      <c r="J418" s="35"/>
    </row>
    <row r="419" spans="1:10" hidden="1" x14ac:dyDescent="0.25">
      <c r="A419" s="28">
        <v>45953</v>
      </c>
      <c r="B419" s="29">
        <v>45953</v>
      </c>
      <c r="C419" s="30">
        <v>45953</v>
      </c>
      <c r="D419" s="36">
        <v>43</v>
      </c>
      <c r="E419" s="32">
        <v>5</v>
      </c>
      <c r="F419" s="67" t="s">
        <v>130</v>
      </c>
      <c r="G419" s="43" t="s">
        <v>131</v>
      </c>
      <c r="H419" s="43" t="s">
        <v>170</v>
      </c>
      <c r="I419" s="44"/>
      <c r="J419" s="35"/>
    </row>
    <row r="420" spans="1:10" hidden="1" x14ac:dyDescent="0.25">
      <c r="A420" s="28">
        <f t="shared" si="24"/>
        <v>45954</v>
      </c>
      <c r="B420" s="29">
        <f>+B417+1</f>
        <v>45954</v>
      </c>
      <c r="C420" s="30">
        <f t="shared" si="25"/>
        <v>45954</v>
      </c>
      <c r="D420" s="36">
        <f t="shared" si="26"/>
        <v>43</v>
      </c>
      <c r="E420" s="32">
        <v>5</v>
      </c>
      <c r="F420" s="67" t="s">
        <v>130</v>
      </c>
      <c r="G420" s="43" t="s">
        <v>131</v>
      </c>
      <c r="H420" s="43" t="s">
        <v>170</v>
      </c>
      <c r="I420" s="44"/>
      <c r="J420" s="35"/>
    </row>
    <row r="421" spans="1:10" hidden="1" x14ac:dyDescent="0.25">
      <c r="A421" s="28">
        <v>45954</v>
      </c>
      <c r="B421" s="29">
        <v>45954</v>
      </c>
      <c r="C421" s="30">
        <v>45954</v>
      </c>
      <c r="D421" s="36">
        <v>43</v>
      </c>
      <c r="E421" s="32">
        <v>1</v>
      </c>
      <c r="F421" s="67" t="s">
        <v>15</v>
      </c>
      <c r="G421" s="43" t="s">
        <v>19</v>
      </c>
      <c r="H421" s="43" t="s">
        <v>20</v>
      </c>
      <c r="I421" s="44"/>
      <c r="J421" s="35">
        <f>SUM(E413:E421)</f>
        <v>40</v>
      </c>
    </row>
    <row r="422" spans="1:10" hidden="1" x14ac:dyDescent="0.25">
      <c r="A422" s="28">
        <f t="shared" si="24"/>
        <v>45955</v>
      </c>
      <c r="B422" s="29">
        <f>+B420+1</f>
        <v>45955</v>
      </c>
      <c r="C422" s="30">
        <f t="shared" si="25"/>
        <v>45955</v>
      </c>
      <c r="D422" s="36">
        <f t="shared" si="26"/>
        <v>43</v>
      </c>
      <c r="E422" s="32"/>
      <c r="F422" s="67"/>
      <c r="G422" s="43"/>
      <c r="H422" s="43"/>
      <c r="I422" s="44"/>
      <c r="J422" s="35"/>
    </row>
    <row r="423" spans="1:10" hidden="1" x14ac:dyDescent="0.25">
      <c r="A423" s="28">
        <f t="shared" si="24"/>
        <v>45956</v>
      </c>
      <c r="B423" s="29">
        <f t="shared" si="27"/>
        <v>45956</v>
      </c>
      <c r="C423" s="30">
        <f t="shared" si="25"/>
        <v>45956</v>
      </c>
      <c r="D423" s="36">
        <f t="shared" si="26"/>
        <v>44</v>
      </c>
      <c r="E423" s="32"/>
      <c r="F423" s="67"/>
      <c r="G423" s="43"/>
      <c r="H423" s="43"/>
      <c r="I423" s="44"/>
      <c r="J423" s="35"/>
    </row>
    <row r="424" spans="1:10" hidden="1" x14ac:dyDescent="0.25">
      <c r="A424" s="28">
        <f t="shared" si="24"/>
        <v>45957</v>
      </c>
      <c r="B424" s="29">
        <f t="shared" si="27"/>
        <v>45957</v>
      </c>
      <c r="C424" s="30">
        <f t="shared" si="25"/>
        <v>45957</v>
      </c>
      <c r="D424" s="36">
        <f t="shared" si="26"/>
        <v>44</v>
      </c>
      <c r="E424" s="32">
        <v>8.5</v>
      </c>
      <c r="F424" s="67" t="s">
        <v>130</v>
      </c>
      <c r="G424" s="43" t="s">
        <v>131</v>
      </c>
      <c r="H424" s="43" t="s">
        <v>170</v>
      </c>
      <c r="I424" s="44"/>
      <c r="J424" s="35"/>
    </row>
    <row r="425" spans="1:10" hidden="1" x14ac:dyDescent="0.25">
      <c r="A425" s="28">
        <f t="shared" si="24"/>
        <v>45958</v>
      </c>
      <c r="B425" s="29">
        <f t="shared" si="27"/>
        <v>45958</v>
      </c>
      <c r="C425" s="30">
        <f t="shared" si="25"/>
        <v>45958</v>
      </c>
      <c r="D425" s="36">
        <f t="shared" si="26"/>
        <v>44</v>
      </c>
      <c r="E425" s="32">
        <v>1.5</v>
      </c>
      <c r="F425" s="67" t="s">
        <v>15</v>
      </c>
      <c r="G425" s="43" t="s">
        <v>16</v>
      </c>
      <c r="H425" s="43" t="s">
        <v>17</v>
      </c>
      <c r="I425" s="44"/>
      <c r="J425" s="35"/>
    </row>
    <row r="426" spans="1:10" hidden="1" x14ac:dyDescent="0.25">
      <c r="A426" s="28">
        <v>45958</v>
      </c>
      <c r="B426" s="29">
        <v>45958</v>
      </c>
      <c r="C426" s="30">
        <v>45958</v>
      </c>
      <c r="D426" s="36">
        <v>44</v>
      </c>
      <c r="E426" s="32">
        <v>7</v>
      </c>
      <c r="F426" s="67" t="s">
        <v>130</v>
      </c>
      <c r="G426" s="43" t="s">
        <v>137</v>
      </c>
      <c r="H426" s="43" t="s">
        <v>172</v>
      </c>
      <c r="I426" s="44"/>
      <c r="J426" s="35"/>
    </row>
    <row r="427" spans="1:10" hidden="1" x14ac:dyDescent="0.25">
      <c r="A427" s="28">
        <f t="shared" si="24"/>
        <v>45959</v>
      </c>
      <c r="B427" s="29">
        <f>+B425+1</f>
        <v>45959</v>
      </c>
      <c r="C427" s="30">
        <f t="shared" si="25"/>
        <v>45959</v>
      </c>
      <c r="D427" s="36">
        <f t="shared" si="26"/>
        <v>44</v>
      </c>
      <c r="E427" s="32">
        <v>8.5</v>
      </c>
      <c r="F427" s="67" t="s">
        <v>130</v>
      </c>
      <c r="G427" s="43" t="s">
        <v>137</v>
      </c>
      <c r="H427" s="43" t="s">
        <v>172</v>
      </c>
      <c r="I427" s="44"/>
      <c r="J427" s="35"/>
    </row>
    <row r="428" spans="1:10" hidden="1" x14ac:dyDescent="0.25">
      <c r="A428" s="28">
        <f t="shared" si="24"/>
        <v>45960</v>
      </c>
      <c r="B428" s="29">
        <f t="shared" si="27"/>
        <v>45960</v>
      </c>
      <c r="C428" s="30">
        <f t="shared" si="25"/>
        <v>45960</v>
      </c>
      <c r="D428" s="36">
        <f t="shared" si="26"/>
        <v>44</v>
      </c>
      <c r="E428" s="32">
        <v>3</v>
      </c>
      <c r="F428" s="67" t="s">
        <v>15</v>
      </c>
      <c r="G428" s="43" t="s">
        <v>19</v>
      </c>
      <c r="H428" s="43" t="s">
        <v>173</v>
      </c>
      <c r="I428" s="44"/>
      <c r="J428" s="35"/>
    </row>
    <row r="429" spans="1:10" hidden="1" x14ac:dyDescent="0.25">
      <c r="A429" s="28">
        <v>45960</v>
      </c>
      <c r="B429" s="29">
        <v>45960</v>
      </c>
      <c r="C429" s="30">
        <v>45960</v>
      </c>
      <c r="D429" s="36">
        <v>44</v>
      </c>
      <c r="E429" s="32">
        <v>5.5</v>
      </c>
      <c r="F429" s="67" t="s">
        <v>130</v>
      </c>
      <c r="G429" s="43" t="s">
        <v>137</v>
      </c>
      <c r="H429" s="43" t="s">
        <v>172</v>
      </c>
      <c r="I429" s="44"/>
      <c r="J429" s="35"/>
    </row>
    <row r="430" spans="1:10" hidden="1" x14ac:dyDescent="0.25">
      <c r="A430" s="28">
        <f t="shared" si="24"/>
        <v>45961</v>
      </c>
      <c r="B430" s="29">
        <f>+B428+1</f>
        <v>45961</v>
      </c>
      <c r="C430" s="30">
        <f t="shared" si="25"/>
        <v>45961</v>
      </c>
      <c r="D430" s="36">
        <f t="shared" si="26"/>
        <v>44</v>
      </c>
      <c r="E430" s="32">
        <v>6</v>
      </c>
      <c r="F430" s="67" t="s">
        <v>130</v>
      </c>
      <c r="G430" s="43" t="s">
        <v>137</v>
      </c>
      <c r="H430" s="43" t="s">
        <v>172</v>
      </c>
      <c r="I430" s="44"/>
      <c r="J430" s="35">
        <f>SUM(E424:E430)</f>
        <v>40</v>
      </c>
    </row>
    <row r="431" spans="1:10" hidden="1" x14ac:dyDescent="0.25">
      <c r="A431" s="28">
        <f t="shared" si="24"/>
        <v>45962</v>
      </c>
      <c r="B431" s="29">
        <f t="shared" si="27"/>
        <v>45962</v>
      </c>
      <c r="C431" s="30">
        <f t="shared" si="25"/>
        <v>45962</v>
      </c>
      <c r="D431" s="36">
        <f t="shared" si="26"/>
        <v>44</v>
      </c>
      <c r="E431" s="32"/>
      <c r="F431" s="67"/>
      <c r="G431" s="43"/>
      <c r="H431" s="43"/>
      <c r="I431" s="44"/>
      <c r="J431" s="35"/>
    </row>
    <row r="432" spans="1:10" hidden="1" x14ac:dyDescent="0.25">
      <c r="A432" s="28">
        <f t="shared" si="24"/>
        <v>45963</v>
      </c>
      <c r="B432" s="29">
        <f t="shared" si="27"/>
        <v>45963</v>
      </c>
      <c r="C432" s="30">
        <f t="shared" si="25"/>
        <v>45963</v>
      </c>
      <c r="D432" s="36">
        <f t="shared" si="26"/>
        <v>45</v>
      </c>
      <c r="E432" s="32"/>
      <c r="F432" s="67"/>
      <c r="G432" s="43"/>
      <c r="H432" s="43"/>
      <c r="I432" s="44"/>
      <c r="J432" s="35"/>
    </row>
    <row r="433" spans="1:10" hidden="1" x14ac:dyDescent="0.25">
      <c r="A433" s="28">
        <f t="shared" si="24"/>
        <v>45964</v>
      </c>
      <c r="B433" s="29">
        <f t="shared" si="27"/>
        <v>45964</v>
      </c>
      <c r="C433" s="30">
        <f t="shared" si="25"/>
        <v>45964</v>
      </c>
      <c r="D433" s="36">
        <f t="shared" si="26"/>
        <v>45</v>
      </c>
      <c r="E433" s="32">
        <v>8.5</v>
      </c>
      <c r="F433" s="67" t="s">
        <v>130</v>
      </c>
      <c r="G433" s="43" t="s">
        <v>137</v>
      </c>
      <c r="H433" s="43" t="s">
        <v>172</v>
      </c>
      <c r="I433" s="44"/>
      <c r="J433" s="35"/>
    </row>
    <row r="434" spans="1:10" hidden="1" x14ac:dyDescent="0.25">
      <c r="A434" s="28">
        <f t="shared" si="24"/>
        <v>45965</v>
      </c>
      <c r="B434" s="29">
        <f t="shared" si="27"/>
        <v>45965</v>
      </c>
      <c r="C434" s="30">
        <f t="shared" si="25"/>
        <v>45965</v>
      </c>
      <c r="D434" s="36">
        <f t="shared" si="26"/>
        <v>45</v>
      </c>
      <c r="E434" s="32">
        <v>7</v>
      </c>
      <c r="F434" s="67" t="s">
        <v>130</v>
      </c>
      <c r="G434" s="43" t="s">
        <v>137</v>
      </c>
      <c r="H434" s="43" t="s">
        <v>172</v>
      </c>
      <c r="I434" s="44"/>
      <c r="J434" s="35"/>
    </row>
    <row r="435" spans="1:10" hidden="1" x14ac:dyDescent="0.25">
      <c r="A435" s="28">
        <v>45965</v>
      </c>
      <c r="B435" s="29">
        <v>45965</v>
      </c>
      <c r="C435" s="30">
        <v>45965</v>
      </c>
      <c r="D435" s="36">
        <v>45</v>
      </c>
      <c r="E435" s="32">
        <v>1.5</v>
      </c>
      <c r="F435" s="67" t="s">
        <v>15</v>
      </c>
      <c r="G435" s="43" t="s">
        <v>16</v>
      </c>
      <c r="H435" s="43" t="s">
        <v>17</v>
      </c>
      <c r="I435" s="44"/>
      <c r="J435" s="35"/>
    </row>
    <row r="436" spans="1:10" hidden="1" x14ac:dyDescent="0.25">
      <c r="A436" s="28">
        <f t="shared" si="24"/>
        <v>45966</v>
      </c>
      <c r="B436" s="29">
        <f>+B434+1</f>
        <v>45966</v>
      </c>
      <c r="C436" s="30">
        <f t="shared" si="25"/>
        <v>45966</v>
      </c>
      <c r="D436" s="36">
        <f t="shared" si="26"/>
        <v>45</v>
      </c>
      <c r="E436" s="32">
        <v>8.5</v>
      </c>
      <c r="F436" s="67" t="s">
        <v>130</v>
      </c>
      <c r="G436" s="43" t="s">
        <v>137</v>
      </c>
      <c r="H436" s="43" t="s">
        <v>172</v>
      </c>
      <c r="I436" s="44"/>
      <c r="J436" s="35"/>
    </row>
    <row r="437" spans="1:10" hidden="1" x14ac:dyDescent="0.25">
      <c r="A437" s="28">
        <f t="shared" si="24"/>
        <v>45967</v>
      </c>
      <c r="B437" s="29">
        <f t="shared" si="27"/>
        <v>45967</v>
      </c>
      <c r="C437" s="30">
        <f t="shared" si="25"/>
        <v>45967</v>
      </c>
      <c r="D437" s="36">
        <f t="shared" si="26"/>
        <v>45</v>
      </c>
      <c r="E437" s="32">
        <v>7</v>
      </c>
      <c r="F437" s="67" t="s">
        <v>130</v>
      </c>
      <c r="G437" s="43" t="s">
        <v>137</v>
      </c>
      <c r="H437" s="43" t="s">
        <v>172</v>
      </c>
      <c r="I437" s="44"/>
      <c r="J437" s="35"/>
    </row>
    <row r="438" spans="1:10" hidden="1" x14ac:dyDescent="0.25">
      <c r="A438" s="28">
        <v>45967</v>
      </c>
      <c r="B438" s="29">
        <v>45967</v>
      </c>
      <c r="C438" s="30">
        <v>45967</v>
      </c>
      <c r="D438" s="36">
        <v>45</v>
      </c>
      <c r="E438" s="32">
        <v>1.5</v>
      </c>
      <c r="F438" s="67" t="s">
        <v>15</v>
      </c>
      <c r="G438" s="43" t="s">
        <v>16</v>
      </c>
      <c r="H438" s="43" t="s">
        <v>17</v>
      </c>
      <c r="I438" s="44"/>
      <c r="J438" s="35"/>
    </row>
    <row r="439" spans="1:10" hidden="1" x14ac:dyDescent="0.25">
      <c r="A439" s="28">
        <f t="shared" si="24"/>
        <v>45968</v>
      </c>
      <c r="B439" s="29">
        <f>+B437+1</f>
        <v>45968</v>
      </c>
      <c r="C439" s="30">
        <f t="shared" si="25"/>
        <v>45968</v>
      </c>
      <c r="D439" s="36">
        <f t="shared" si="26"/>
        <v>45</v>
      </c>
      <c r="E439" s="32">
        <v>6</v>
      </c>
      <c r="F439" s="67" t="s">
        <v>130</v>
      </c>
      <c r="G439" s="43" t="s">
        <v>137</v>
      </c>
      <c r="H439" s="43" t="s">
        <v>172</v>
      </c>
      <c r="I439" s="44"/>
      <c r="J439" s="35">
        <f>SUM(E433:E439)</f>
        <v>40</v>
      </c>
    </row>
    <row r="440" spans="1:10" hidden="1" x14ac:dyDescent="0.25">
      <c r="A440" s="28">
        <f t="shared" si="24"/>
        <v>45969</v>
      </c>
      <c r="B440" s="29">
        <f t="shared" si="27"/>
        <v>45969</v>
      </c>
      <c r="C440" s="30">
        <f t="shared" si="25"/>
        <v>45969</v>
      </c>
      <c r="D440" s="36">
        <f t="shared" si="26"/>
        <v>45</v>
      </c>
      <c r="E440" s="32"/>
      <c r="F440" s="67"/>
      <c r="G440" s="43"/>
      <c r="H440" s="43"/>
      <c r="I440" s="44"/>
      <c r="J440" s="35"/>
    </row>
    <row r="441" spans="1:10" hidden="1" x14ac:dyDescent="0.25">
      <c r="A441" s="28">
        <f t="shared" si="24"/>
        <v>45970</v>
      </c>
      <c r="B441" s="29">
        <f t="shared" si="27"/>
        <v>45970</v>
      </c>
      <c r="C441" s="30">
        <f t="shared" si="25"/>
        <v>45970</v>
      </c>
      <c r="D441" s="36">
        <f t="shared" si="26"/>
        <v>46</v>
      </c>
      <c r="E441" s="32"/>
      <c r="F441" s="67"/>
      <c r="G441" s="43"/>
      <c r="H441" s="43"/>
      <c r="I441" s="44"/>
      <c r="J441" s="35"/>
    </row>
    <row r="442" spans="1:10" hidden="1" x14ac:dyDescent="0.25">
      <c r="A442" s="28">
        <f t="shared" si="24"/>
        <v>45971</v>
      </c>
      <c r="B442" s="29">
        <f t="shared" si="27"/>
        <v>45971</v>
      </c>
      <c r="C442" s="30">
        <f t="shared" si="25"/>
        <v>45971</v>
      </c>
      <c r="D442" s="36">
        <f t="shared" si="26"/>
        <v>46</v>
      </c>
      <c r="E442" s="54" t="s">
        <v>33</v>
      </c>
      <c r="F442" s="66"/>
      <c r="G442" s="56"/>
      <c r="H442" s="56"/>
      <c r="I442" s="44"/>
      <c r="J442" s="35"/>
    </row>
    <row r="443" spans="1:10" hidden="1" x14ac:dyDescent="0.25">
      <c r="A443" s="28">
        <f t="shared" si="24"/>
        <v>45972</v>
      </c>
      <c r="B443" s="29">
        <f t="shared" ref="B443:B453" si="28">+B442+1</f>
        <v>45972</v>
      </c>
      <c r="C443" s="30">
        <f t="shared" si="25"/>
        <v>45972</v>
      </c>
      <c r="D443" s="36">
        <f t="shared" si="26"/>
        <v>46</v>
      </c>
      <c r="E443" s="32">
        <v>1.5</v>
      </c>
      <c r="F443" s="67" t="s">
        <v>15</v>
      </c>
      <c r="G443" s="43" t="s">
        <v>16</v>
      </c>
      <c r="H443" s="43" t="s">
        <v>17</v>
      </c>
      <c r="I443" s="44"/>
      <c r="J443" s="35"/>
    </row>
    <row r="444" spans="1:10" hidden="1" x14ac:dyDescent="0.25">
      <c r="A444" s="28">
        <v>45972</v>
      </c>
      <c r="B444" s="29">
        <v>45972</v>
      </c>
      <c r="C444" s="30">
        <v>45972</v>
      </c>
      <c r="D444" s="36">
        <v>46</v>
      </c>
      <c r="E444" s="32">
        <v>7</v>
      </c>
      <c r="F444" s="67" t="s">
        <v>130</v>
      </c>
      <c r="G444" s="43" t="s">
        <v>137</v>
      </c>
      <c r="H444" s="43" t="s">
        <v>172</v>
      </c>
      <c r="I444" s="44"/>
      <c r="J444" s="35"/>
    </row>
    <row r="445" spans="1:10" hidden="1" x14ac:dyDescent="0.25">
      <c r="A445" s="28">
        <f t="shared" si="24"/>
        <v>45973</v>
      </c>
      <c r="B445" s="29">
        <f>+B443+1</f>
        <v>45973</v>
      </c>
      <c r="C445" s="30">
        <f t="shared" si="25"/>
        <v>45973</v>
      </c>
      <c r="D445" s="36">
        <f t="shared" si="26"/>
        <v>46</v>
      </c>
      <c r="E445" s="32">
        <v>8.5</v>
      </c>
      <c r="F445" s="67" t="s">
        <v>130</v>
      </c>
      <c r="G445" s="43" t="s">
        <v>137</v>
      </c>
      <c r="H445" s="43" t="s">
        <v>172</v>
      </c>
      <c r="I445" s="44"/>
      <c r="J445" s="35"/>
    </row>
    <row r="446" spans="1:10" hidden="1" x14ac:dyDescent="0.25">
      <c r="A446" s="28">
        <f t="shared" si="24"/>
        <v>45974</v>
      </c>
      <c r="B446" s="29">
        <f t="shared" si="28"/>
        <v>45974</v>
      </c>
      <c r="C446" s="30">
        <f t="shared" si="25"/>
        <v>45974</v>
      </c>
      <c r="D446" s="36">
        <f t="shared" si="26"/>
        <v>46</v>
      </c>
      <c r="E446" s="32">
        <v>1.5</v>
      </c>
      <c r="F446" s="67" t="s">
        <v>15</v>
      </c>
      <c r="G446" s="43" t="s">
        <v>16</v>
      </c>
      <c r="H446" s="43" t="s">
        <v>17</v>
      </c>
      <c r="I446" s="44"/>
      <c r="J446" s="35"/>
    </row>
    <row r="447" spans="1:10" hidden="1" x14ac:dyDescent="0.25">
      <c r="A447" s="28">
        <v>45974</v>
      </c>
      <c r="B447" s="29">
        <v>45974</v>
      </c>
      <c r="C447" s="30">
        <v>45974</v>
      </c>
      <c r="D447" s="36">
        <v>46</v>
      </c>
      <c r="E447" s="32">
        <v>7</v>
      </c>
      <c r="F447" s="67" t="s">
        <v>130</v>
      </c>
      <c r="G447" s="43" t="s">
        <v>137</v>
      </c>
      <c r="H447" s="43" t="s">
        <v>174</v>
      </c>
      <c r="I447" s="44"/>
      <c r="J447" s="35"/>
    </row>
    <row r="448" spans="1:10" hidden="1" x14ac:dyDescent="0.25">
      <c r="A448" s="28">
        <f t="shared" si="24"/>
        <v>45975</v>
      </c>
      <c r="B448" s="29">
        <f>+B446+1</f>
        <v>45975</v>
      </c>
      <c r="C448" s="30">
        <f t="shared" si="25"/>
        <v>45975</v>
      </c>
      <c r="D448" s="36">
        <f t="shared" si="26"/>
        <v>46</v>
      </c>
      <c r="E448" s="32">
        <v>1.5</v>
      </c>
      <c r="F448" s="67" t="s">
        <v>15</v>
      </c>
      <c r="G448" s="43" t="s">
        <v>16</v>
      </c>
      <c r="H448" s="43" t="s">
        <v>17</v>
      </c>
      <c r="I448" s="44"/>
      <c r="J448" s="35"/>
    </row>
    <row r="449" spans="1:10" hidden="1" x14ac:dyDescent="0.25">
      <c r="A449" s="28">
        <v>45975</v>
      </c>
      <c r="B449" s="29">
        <v>45975</v>
      </c>
      <c r="C449" s="30">
        <v>45975</v>
      </c>
      <c r="D449" s="36">
        <v>46</v>
      </c>
      <c r="E449" s="32">
        <v>1</v>
      </c>
      <c r="F449" s="67" t="s">
        <v>15</v>
      </c>
      <c r="G449" s="43" t="s">
        <v>19</v>
      </c>
      <c r="H449" s="43" t="s">
        <v>20</v>
      </c>
      <c r="I449" s="44"/>
      <c r="J449" s="35"/>
    </row>
    <row r="450" spans="1:10" hidden="1" x14ac:dyDescent="0.25">
      <c r="A450" s="28">
        <v>45975</v>
      </c>
      <c r="B450" s="29">
        <v>45975</v>
      </c>
      <c r="C450" s="30">
        <v>45975</v>
      </c>
      <c r="D450" s="36">
        <v>46</v>
      </c>
      <c r="E450" s="32">
        <v>3.5</v>
      </c>
      <c r="F450" s="67" t="s">
        <v>130</v>
      </c>
      <c r="G450" s="43" t="s">
        <v>137</v>
      </c>
      <c r="H450" s="43" t="s">
        <v>172</v>
      </c>
      <c r="I450" s="44"/>
      <c r="J450" s="35">
        <f>SUM(E442:E450)</f>
        <v>31.5</v>
      </c>
    </row>
    <row r="451" spans="1:10" hidden="1" x14ac:dyDescent="0.25">
      <c r="A451" s="28">
        <f t="shared" si="24"/>
        <v>45976</v>
      </c>
      <c r="B451" s="29">
        <f>+B448+1</f>
        <v>45976</v>
      </c>
      <c r="C451" s="30">
        <f t="shared" si="25"/>
        <v>45976</v>
      </c>
      <c r="D451" s="36">
        <f t="shared" si="26"/>
        <v>46</v>
      </c>
      <c r="E451" s="32"/>
      <c r="F451" s="67"/>
      <c r="G451" s="43"/>
      <c r="H451" s="43"/>
      <c r="I451" s="44"/>
      <c r="J451" s="35"/>
    </row>
    <row r="452" spans="1:10" hidden="1" x14ac:dyDescent="0.25">
      <c r="A452" s="28">
        <f t="shared" si="24"/>
        <v>45977</v>
      </c>
      <c r="B452" s="29">
        <f t="shared" si="28"/>
        <v>45977</v>
      </c>
      <c r="C452" s="30">
        <f t="shared" si="25"/>
        <v>45977</v>
      </c>
      <c r="D452" s="36">
        <f t="shared" si="26"/>
        <v>47</v>
      </c>
      <c r="E452" s="32"/>
      <c r="F452" s="67"/>
      <c r="G452" s="43"/>
      <c r="H452" s="43"/>
      <c r="I452" s="44"/>
      <c r="J452" s="35"/>
    </row>
    <row r="453" spans="1:10" x14ac:dyDescent="0.25">
      <c r="A453" s="28">
        <f t="shared" si="24"/>
        <v>45978</v>
      </c>
      <c r="B453" s="29">
        <f t="shared" si="28"/>
        <v>45978</v>
      </c>
      <c r="C453" s="30">
        <f t="shared" si="25"/>
        <v>45978</v>
      </c>
      <c r="D453" s="36">
        <f t="shared" si="26"/>
        <v>47</v>
      </c>
      <c r="E453" s="32">
        <v>8</v>
      </c>
      <c r="F453" s="67" t="s">
        <v>34</v>
      </c>
      <c r="G453" s="43" t="s">
        <v>35</v>
      </c>
      <c r="H453" s="43" t="s">
        <v>175</v>
      </c>
      <c r="I453" s="44"/>
      <c r="J453" s="35"/>
    </row>
    <row r="454" spans="1:10" hidden="1" x14ac:dyDescent="0.25">
      <c r="A454" s="28">
        <v>45978</v>
      </c>
      <c r="B454" s="29">
        <v>45978</v>
      </c>
      <c r="C454" s="30">
        <v>45978</v>
      </c>
      <c r="D454" s="36">
        <v>47</v>
      </c>
      <c r="E454" s="32">
        <v>0.5</v>
      </c>
      <c r="F454" s="67" t="s">
        <v>130</v>
      </c>
      <c r="G454" s="43" t="s">
        <v>137</v>
      </c>
      <c r="H454" s="43" t="s">
        <v>176</v>
      </c>
      <c r="I454" s="44"/>
      <c r="J454" s="35"/>
    </row>
    <row r="455" spans="1:10" hidden="1" x14ac:dyDescent="0.25">
      <c r="A455" s="28">
        <f t="shared" si="24"/>
        <v>45979</v>
      </c>
      <c r="B455" s="29">
        <f>+B453+1</f>
        <v>45979</v>
      </c>
      <c r="C455" s="30">
        <f t="shared" si="25"/>
        <v>45979</v>
      </c>
      <c r="D455" s="36">
        <f t="shared" si="26"/>
        <v>47</v>
      </c>
      <c r="E455" s="32">
        <v>1.5</v>
      </c>
      <c r="F455" s="67" t="s">
        <v>15</v>
      </c>
      <c r="G455" s="43" t="s">
        <v>16</v>
      </c>
      <c r="H455" s="43" t="s">
        <v>17</v>
      </c>
      <c r="I455" s="44"/>
      <c r="J455" s="35"/>
    </row>
    <row r="456" spans="1:10" hidden="1" x14ac:dyDescent="0.25">
      <c r="A456" s="28">
        <v>45979</v>
      </c>
      <c r="B456" s="29">
        <v>45979</v>
      </c>
      <c r="C456" s="30">
        <v>45979</v>
      </c>
      <c r="D456" s="36">
        <v>47</v>
      </c>
      <c r="E456" s="32">
        <v>7</v>
      </c>
      <c r="F456" s="67" t="s">
        <v>130</v>
      </c>
      <c r="G456" s="43" t="s">
        <v>137</v>
      </c>
      <c r="H456" s="43" t="s">
        <v>176</v>
      </c>
      <c r="I456" s="44"/>
      <c r="J456" s="35"/>
    </row>
    <row r="457" spans="1:10" hidden="1" x14ac:dyDescent="0.25">
      <c r="A457" s="28">
        <f t="shared" ref="A457:A510" si="29">B457</f>
        <v>45980</v>
      </c>
      <c r="B457" s="29">
        <f>+B455+1</f>
        <v>45980</v>
      </c>
      <c r="C457" s="30">
        <f t="shared" ref="C457:C510" si="30">B457</f>
        <v>45980</v>
      </c>
      <c r="D457" s="36">
        <f t="shared" ref="D457:D506" si="31">WEEKNUM(A457)</f>
        <v>47</v>
      </c>
      <c r="E457" s="32">
        <v>8.5</v>
      </c>
      <c r="F457" s="67" t="s">
        <v>130</v>
      </c>
      <c r="G457" s="43" t="s">
        <v>137</v>
      </c>
      <c r="H457" s="43" t="s">
        <v>176</v>
      </c>
      <c r="I457" s="44"/>
      <c r="J457" s="35"/>
    </row>
    <row r="458" spans="1:10" hidden="1" x14ac:dyDescent="0.25">
      <c r="A458" s="28">
        <f t="shared" si="29"/>
        <v>45981</v>
      </c>
      <c r="B458" s="29">
        <f t="shared" ref="B458:B510" si="32">+B457+1</f>
        <v>45981</v>
      </c>
      <c r="C458" s="30">
        <f t="shared" si="30"/>
        <v>45981</v>
      </c>
      <c r="D458" s="36">
        <f t="shared" si="31"/>
        <v>47</v>
      </c>
      <c r="E458" s="32">
        <v>1.5</v>
      </c>
      <c r="F458" s="67" t="s">
        <v>15</v>
      </c>
      <c r="G458" s="43" t="s">
        <v>16</v>
      </c>
      <c r="H458" s="43" t="s">
        <v>17</v>
      </c>
      <c r="I458" s="44"/>
      <c r="J458" s="35"/>
    </row>
    <row r="459" spans="1:10" hidden="1" x14ac:dyDescent="0.25">
      <c r="A459" s="28">
        <v>45981</v>
      </c>
      <c r="B459" s="29">
        <v>45981</v>
      </c>
      <c r="C459" s="30">
        <v>45981</v>
      </c>
      <c r="D459" s="36">
        <v>47</v>
      </c>
      <c r="E459" s="32">
        <v>7</v>
      </c>
      <c r="F459" s="67" t="s">
        <v>130</v>
      </c>
      <c r="G459" s="43" t="s">
        <v>137</v>
      </c>
      <c r="H459" s="43" t="s">
        <v>176</v>
      </c>
      <c r="I459" s="44"/>
      <c r="J459" s="35"/>
    </row>
    <row r="460" spans="1:10" hidden="1" x14ac:dyDescent="0.25">
      <c r="A460" s="28">
        <f t="shared" si="29"/>
        <v>45982</v>
      </c>
      <c r="B460" s="29">
        <f>+B458+1</f>
        <v>45982</v>
      </c>
      <c r="C460" s="30">
        <f t="shared" si="30"/>
        <v>45982</v>
      </c>
      <c r="D460" s="36">
        <f t="shared" si="31"/>
        <v>47</v>
      </c>
      <c r="E460" s="32">
        <v>6</v>
      </c>
      <c r="F460" s="67" t="s">
        <v>130</v>
      </c>
      <c r="G460" s="43" t="s">
        <v>137</v>
      </c>
      <c r="H460" s="43" t="s">
        <v>176</v>
      </c>
      <c r="I460" s="44"/>
      <c r="J460" s="35">
        <f>SUM(E453:E460)</f>
        <v>40</v>
      </c>
    </row>
    <row r="461" spans="1:10" hidden="1" x14ac:dyDescent="0.25">
      <c r="A461" s="28">
        <f t="shared" si="29"/>
        <v>45983</v>
      </c>
      <c r="B461" s="29">
        <f>+B460+1</f>
        <v>45983</v>
      </c>
      <c r="C461" s="30">
        <f t="shared" si="30"/>
        <v>45983</v>
      </c>
      <c r="D461" s="36">
        <f t="shared" si="31"/>
        <v>47</v>
      </c>
      <c r="E461" s="32"/>
      <c r="F461" s="67"/>
      <c r="G461" s="43"/>
      <c r="H461" s="43"/>
      <c r="I461" s="44"/>
      <c r="J461" s="35"/>
    </row>
    <row r="462" spans="1:10" hidden="1" x14ac:dyDescent="0.25">
      <c r="A462" s="28">
        <f t="shared" si="29"/>
        <v>45984</v>
      </c>
      <c r="B462" s="29">
        <f t="shared" si="32"/>
        <v>45984</v>
      </c>
      <c r="C462" s="30">
        <f t="shared" si="30"/>
        <v>45984</v>
      </c>
      <c r="D462" s="36">
        <f t="shared" si="31"/>
        <v>48</v>
      </c>
      <c r="E462" s="32"/>
      <c r="F462" s="67"/>
      <c r="G462" s="43"/>
      <c r="H462" s="43"/>
      <c r="I462" s="44"/>
      <c r="J462" s="35"/>
    </row>
    <row r="463" spans="1:10" hidden="1" x14ac:dyDescent="0.25">
      <c r="A463" s="28">
        <f t="shared" si="29"/>
        <v>45985</v>
      </c>
      <c r="B463" s="29">
        <f t="shared" si="32"/>
        <v>45985</v>
      </c>
      <c r="C463" s="30">
        <f t="shared" si="30"/>
        <v>45985</v>
      </c>
      <c r="D463" s="36">
        <f t="shared" si="31"/>
        <v>48</v>
      </c>
      <c r="E463" s="32">
        <v>8.5</v>
      </c>
      <c r="F463" s="67" t="s">
        <v>130</v>
      </c>
      <c r="G463" s="43" t="s">
        <v>137</v>
      </c>
      <c r="H463" s="43" t="s">
        <v>176</v>
      </c>
      <c r="I463" s="44"/>
      <c r="J463" s="35"/>
    </row>
    <row r="464" spans="1:10" hidden="1" x14ac:dyDescent="0.25">
      <c r="A464" s="28">
        <f t="shared" si="29"/>
        <v>45986</v>
      </c>
      <c r="B464" s="29">
        <f t="shared" si="32"/>
        <v>45986</v>
      </c>
      <c r="C464" s="30">
        <f t="shared" si="30"/>
        <v>45986</v>
      </c>
      <c r="D464" s="36">
        <f t="shared" si="31"/>
        <v>48</v>
      </c>
      <c r="E464" s="32">
        <v>8.5</v>
      </c>
      <c r="F464" s="67" t="s">
        <v>130</v>
      </c>
      <c r="G464" s="43" t="s">
        <v>137</v>
      </c>
      <c r="H464" s="43" t="s">
        <v>176</v>
      </c>
      <c r="I464" s="44"/>
      <c r="J464" s="35"/>
    </row>
    <row r="465" spans="1:10" hidden="1" x14ac:dyDescent="0.25">
      <c r="A465" s="28">
        <f t="shared" si="29"/>
        <v>45987</v>
      </c>
      <c r="B465" s="29">
        <f t="shared" si="32"/>
        <v>45987</v>
      </c>
      <c r="C465" s="30">
        <f t="shared" si="30"/>
        <v>45987</v>
      </c>
      <c r="D465" s="36">
        <f t="shared" si="31"/>
        <v>48</v>
      </c>
      <c r="E465" s="32">
        <v>8.5</v>
      </c>
      <c r="F465" s="67" t="s">
        <v>130</v>
      </c>
      <c r="G465" s="43" t="s">
        <v>137</v>
      </c>
      <c r="H465" s="43" t="s">
        <v>176</v>
      </c>
      <c r="I465" s="44"/>
      <c r="J465" s="35"/>
    </row>
    <row r="466" spans="1:10" hidden="1" x14ac:dyDescent="0.25">
      <c r="A466" s="28">
        <f t="shared" si="29"/>
        <v>45988</v>
      </c>
      <c r="B466" s="29">
        <f t="shared" si="32"/>
        <v>45988</v>
      </c>
      <c r="C466" s="30">
        <f t="shared" si="30"/>
        <v>45988</v>
      </c>
      <c r="D466" s="36">
        <f t="shared" si="31"/>
        <v>48</v>
      </c>
      <c r="E466" s="32">
        <v>1.5</v>
      </c>
      <c r="F466" s="67" t="s">
        <v>15</v>
      </c>
      <c r="G466" s="43" t="s">
        <v>16</v>
      </c>
      <c r="H466" s="43" t="s">
        <v>17</v>
      </c>
      <c r="I466" s="44"/>
      <c r="J466" s="35"/>
    </row>
    <row r="467" spans="1:10" hidden="1" x14ac:dyDescent="0.25">
      <c r="A467" s="28">
        <v>45988</v>
      </c>
      <c r="B467" s="29">
        <v>45988</v>
      </c>
      <c r="C467" s="30">
        <v>45988</v>
      </c>
      <c r="D467" s="36">
        <v>48</v>
      </c>
      <c r="E467" s="32">
        <v>7</v>
      </c>
      <c r="F467" s="67" t="s">
        <v>130</v>
      </c>
      <c r="G467" s="43" t="s">
        <v>137</v>
      </c>
      <c r="H467" s="43" t="s">
        <v>176</v>
      </c>
      <c r="I467" s="44"/>
      <c r="J467" s="35"/>
    </row>
    <row r="468" spans="1:10" hidden="1" x14ac:dyDescent="0.25">
      <c r="A468" s="28">
        <f t="shared" si="29"/>
        <v>45989</v>
      </c>
      <c r="B468" s="29">
        <f>+B466+1</f>
        <v>45989</v>
      </c>
      <c r="C468" s="30">
        <f t="shared" si="30"/>
        <v>45989</v>
      </c>
      <c r="D468" s="36">
        <f t="shared" si="31"/>
        <v>48</v>
      </c>
      <c r="E468" s="32">
        <v>6</v>
      </c>
      <c r="F468" s="67" t="s">
        <v>130</v>
      </c>
      <c r="G468" s="43" t="s">
        <v>137</v>
      </c>
      <c r="H468" s="43" t="s">
        <v>176</v>
      </c>
      <c r="I468" s="44"/>
      <c r="J468" s="35">
        <f>SUM(E463:E468)</f>
        <v>40</v>
      </c>
    </row>
    <row r="469" spans="1:10" hidden="1" x14ac:dyDescent="0.25">
      <c r="A469" s="28">
        <f t="shared" si="29"/>
        <v>45990</v>
      </c>
      <c r="B469" s="29">
        <f t="shared" si="32"/>
        <v>45990</v>
      </c>
      <c r="C469" s="30">
        <f t="shared" si="30"/>
        <v>45990</v>
      </c>
      <c r="D469" s="36">
        <f t="shared" si="31"/>
        <v>48</v>
      </c>
      <c r="E469" s="32"/>
      <c r="F469" s="67"/>
      <c r="G469" s="43"/>
      <c r="H469" s="43"/>
      <c r="I469" s="44"/>
      <c r="J469" s="35"/>
    </row>
    <row r="470" spans="1:10" hidden="1" x14ac:dyDescent="0.25">
      <c r="A470" s="28">
        <f t="shared" si="29"/>
        <v>45991</v>
      </c>
      <c r="B470" s="29">
        <f t="shared" si="32"/>
        <v>45991</v>
      </c>
      <c r="C470" s="30">
        <f t="shared" si="30"/>
        <v>45991</v>
      </c>
      <c r="D470" s="36">
        <f t="shared" si="31"/>
        <v>49</v>
      </c>
      <c r="E470" s="32"/>
      <c r="F470" s="67"/>
      <c r="G470" s="43"/>
      <c r="H470" s="43"/>
      <c r="I470" s="44"/>
      <c r="J470" s="35"/>
    </row>
    <row r="471" spans="1:10" hidden="1" x14ac:dyDescent="0.25">
      <c r="A471" s="28">
        <f t="shared" si="29"/>
        <v>45992</v>
      </c>
      <c r="B471" s="29">
        <f t="shared" si="32"/>
        <v>45992</v>
      </c>
      <c r="C471" s="30">
        <f t="shared" si="30"/>
        <v>45992</v>
      </c>
      <c r="D471" s="36">
        <f t="shared" si="31"/>
        <v>49</v>
      </c>
      <c r="E471" s="32">
        <v>5</v>
      </c>
      <c r="F471" s="67" t="s">
        <v>23</v>
      </c>
      <c r="G471" s="43" t="s">
        <v>24</v>
      </c>
      <c r="H471" s="43" t="s">
        <v>177</v>
      </c>
      <c r="I471" s="44"/>
      <c r="J471" s="35"/>
    </row>
    <row r="472" spans="1:10" hidden="1" x14ac:dyDescent="0.25">
      <c r="A472" s="28">
        <v>45992</v>
      </c>
      <c r="B472" s="29">
        <v>45992</v>
      </c>
      <c r="C472" s="30">
        <v>45992</v>
      </c>
      <c r="D472" s="36">
        <v>49</v>
      </c>
      <c r="E472" s="32">
        <v>3.5</v>
      </c>
      <c r="F472" s="67" t="s">
        <v>130</v>
      </c>
      <c r="G472" s="43" t="s">
        <v>131</v>
      </c>
      <c r="H472" s="43" t="s">
        <v>178</v>
      </c>
      <c r="I472" s="44"/>
      <c r="J472" s="35"/>
    </row>
    <row r="473" spans="1:10" hidden="1" x14ac:dyDescent="0.25">
      <c r="A473" s="28">
        <f t="shared" si="29"/>
        <v>45993</v>
      </c>
      <c r="B473" s="29">
        <f>+B471+1</f>
        <v>45993</v>
      </c>
      <c r="C473" s="30">
        <f t="shared" si="30"/>
        <v>45993</v>
      </c>
      <c r="D473" s="36">
        <f t="shared" si="31"/>
        <v>49</v>
      </c>
      <c r="E473" s="32">
        <v>7</v>
      </c>
      <c r="F473" s="67" t="s">
        <v>23</v>
      </c>
      <c r="G473" s="43" t="s">
        <v>24</v>
      </c>
      <c r="H473" s="43" t="s">
        <v>177</v>
      </c>
      <c r="I473" s="44"/>
      <c r="J473" s="35"/>
    </row>
    <row r="474" spans="1:10" hidden="1" x14ac:dyDescent="0.25">
      <c r="A474" s="28">
        <v>45993</v>
      </c>
      <c r="B474" s="29">
        <v>45993</v>
      </c>
      <c r="C474" s="30">
        <v>45993</v>
      </c>
      <c r="D474" s="36">
        <v>49</v>
      </c>
      <c r="E474" s="32">
        <v>1.5</v>
      </c>
      <c r="F474" s="67" t="s">
        <v>15</v>
      </c>
      <c r="G474" s="43" t="s">
        <v>16</v>
      </c>
      <c r="H474" s="43" t="s">
        <v>17</v>
      </c>
      <c r="I474" s="44"/>
      <c r="J474" s="35"/>
    </row>
    <row r="475" spans="1:10" hidden="1" x14ac:dyDescent="0.25">
      <c r="A475" s="28">
        <f t="shared" si="29"/>
        <v>45994</v>
      </c>
      <c r="B475" s="29">
        <f>+B473+1</f>
        <v>45994</v>
      </c>
      <c r="C475" s="30">
        <f t="shared" si="30"/>
        <v>45994</v>
      </c>
      <c r="D475" s="36">
        <f t="shared" si="31"/>
        <v>49</v>
      </c>
      <c r="E475" s="32">
        <v>8.5</v>
      </c>
      <c r="F475" s="67" t="s">
        <v>130</v>
      </c>
      <c r="G475" s="43" t="s">
        <v>137</v>
      </c>
      <c r="H475" s="43" t="s">
        <v>178</v>
      </c>
      <c r="I475" s="44"/>
      <c r="J475" s="35"/>
    </row>
    <row r="476" spans="1:10" hidden="1" x14ac:dyDescent="0.25">
      <c r="A476" s="28">
        <f t="shared" si="29"/>
        <v>45995</v>
      </c>
      <c r="B476" s="29">
        <f t="shared" si="32"/>
        <v>45995</v>
      </c>
      <c r="C476" s="30">
        <f t="shared" si="30"/>
        <v>45995</v>
      </c>
      <c r="D476" s="36">
        <f t="shared" si="31"/>
        <v>49</v>
      </c>
      <c r="E476" s="32">
        <v>8.5</v>
      </c>
      <c r="F476" s="67" t="s">
        <v>130</v>
      </c>
      <c r="G476" s="43" t="s">
        <v>137</v>
      </c>
      <c r="H476" s="43" t="s">
        <v>176</v>
      </c>
      <c r="I476" s="44"/>
      <c r="J476" s="35"/>
    </row>
    <row r="477" spans="1:10" hidden="1" x14ac:dyDescent="0.25">
      <c r="A477" s="28">
        <f t="shared" si="29"/>
        <v>45996</v>
      </c>
      <c r="B477" s="29">
        <f t="shared" si="32"/>
        <v>45996</v>
      </c>
      <c r="C477" s="30">
        <f t="shared" si="30"/>
        <v>45996</v>
      </c>
      <c r="D477" s="36">
        <f t="shared" si="31"/>
        <v>49</v>
      </c>
      <c r="E477" s="32">
        <v>1.5</v>
      </c>
      <c r="F477" s="67" t="s">
        <v>23</v>
      </c>
      <c r="G477" s="43" t="s">
        <v>24</v>
      </c>
      <c r="H477" s="43" t="s">
        <v>177</v>
      </c>
      <c r="I477" s="44"/>
      <c r="J477" s="35"/>
    </row>
    <row r="478" spans="1:10" hidden="1" x14ac:dyDescent="0.25">
      <c r="A478" s="28">
        <v>45996</v>
      </c>
      <c r="B478" s="29">
        <v>45996</v>
      </c>
      <c r="C478" s="30">
        <v>45996</v>
      </c>
      <c r="D478" s="36">
        <v>49</v>
      </c>
      <c r="E478" s="32">
        <v>1.5</v>
      </c>
      <c r="F478" s="67" t="s">
        <v>15</v>
      </c>
      <c r="G478" s="43" t="s">
        <v>16</v>
      </c>
      <c r="H478" s="43" t="s">
        <v>17</v>
      </c>
      <c r="I478" s="44"/>
      <c r="J478" s="35"/>
    </row>
    <row r="479" spans="1:10" hidden="1" x14ac:dyDescent="0.25">
      <c r="A479" s="28">
        <v>45996</v>
      </c>
      <c r="B479" s="29">
        <v>45996</v>
      </c>
      <c r="C479" s="30">
        <v>45996</v>
      </c>
      <c r="D479" s="36">
        <v>49</v>
      </c>
      <c r="E479" s="32">
        <v>3</v>
      </c>
      <c r="F479" s="67" t="s">
        <v>130</v>
      </c>
      <c r="G479" s="43" t="s">
        <v>137</v>
      </c>
      <c r="H479" s="43" t="s">
        <v>176</v>
      </c>
      <c r="I479" s="44"/>
      <c r="J479" s="35">
        <f>SUM(E471:E479)</f>
        <v>40</v>
      </c>
    </row>
    <row r="480" spans="1:10" hidden="1" x14ac:dyDescent="0.25">
      <c r="A480" s="28">
        <f t="shared" si="29"/>
        <v>45997</v>
      </c>
      <c r="B480" s="29">
        <f>+B477+1</f>
        <v>45997</v>
      </c>
      <c r="C480" s="30">
        <f t="shared" si="30"/>
        <v>45997</v>
      </c>
      <c r="D480" s="36">
        <f t="shared" si="31"/>
        <v>49</v>
      </c>
      <c r="E480" s="32"/>
      <c r="F480" s="67"/>
      <c r="G480" s="43"/>
      <c r="H480" s="43"/>
      <c r="I480" s="44"/>
      <c r="J480" s="35"/>
    </row>
    <row r="481" spans="1:10" hidden="1" x14ac:dyDescent="0.25">
      <c r="A481" s="28">
        <f t="shared" si="29"/>
        <v>45998</v>
      </c>
      <c r="B481" s="29">
        <f t="shared" si="32"/>
        <v>45998</v>
      </c>
      <c r="C481" s="30">
        <f t="shared" si="30"/>
        <v>45998</v>
      </c>
      <c r="D481" s="36">
        <f t="shared" si="31"/>
        <v>50</v>
      </c>
      <c r="E481" s="32"/>
      <c r="F481" s="67"/>
      <c r="G481" s="43"/>
      <c r="H481" s="43"/>
      <c r="I481" s="44"/>
      <c r="J481" s="35"/>
    </row>
    <row r="482" spans="1:10" hidden="1" x14ac:dyDescent="0.25">
      <c r="A482" s="28">
        <f t="shared" si="29"/>
        <v>45999</v>
      </c>
      <c r="B482" s="29">
        <f t="shared" si="32"/>
        <v>45999</v>
      </c>
      <c r="C482" s="30">
        <f t="shared" si="30"/>
        <v>45999</v>
      </c>
      <c r="D482" s="36">
        <f t="shared" si="31"/>
        <v>50</v>
      </c>
      <c r="E482" s="54" t="s">
        <v>33</v>
      </c>
      <c r="F482" s="66"/>
      <c r="G482" s="56"/>
      <c r="H482" s="56"/>
      <c r="I482" s="44"/>
      <c r="J482" s="35"/>
    </row>
    <row r="483" spans="1:10" hidden="1" x14ac:dyDescent="0.25">
      <c r="A483" s="28">
        <f t="shared" si="29"/>
        <v>46000</v>
      </c>
      <c r="B483" s="29">
        <f t="shared" si="32"/>
        <v>46000</v>
      </c>
      <c r="C483" s="30">
        <f t="shared" si="30"/>
        <v>46000</v>
      </c>
      <c r="D483" s="36">
        <f t="shared" si="31"/>
        <v>50</v>
      </c>
      <c r="E483" s="32">
        <v>1.5</v>
      </c>
      <c r="F483" s="67" t="s">
        <v>15</v>
      </c>
      <c r="G483" s="43" t="s">
        <v>16</v>
      </c>
      <c r="H483" s="43" t="s">
        <v>17</v>
      </c>
      <c r="I483" s="44"/>
      <c r="J483" s="35"/>
    </row>
    <row r="484" spans="1:10" hidden="1" x14ac:dyDescent="0.25">
      <c r="A484" s="28">
        <v>46000</v>
      </c>
      <c r="B484" s="29">
        <v>46000</v>
      </c>
      <c r="C484" s="30">
        <v>46000</v>
      </c>
      <c r="D484" s="36">
        <v>50</v>
      </c>
      <c r="E484" s="32">
        <v>7</v>
      </c>
      <c r="F484" s="67" t="s">
        <v>130</v>
      </c>
      <c r="G484" s="43" t="s">
        <v>137</v>
      </c>
      <c r="H484" s="43" t="s">
        <v>176</v>
      </c>
      <c r="I484" s="44"/>
      <c r="J484" s="35"/>
    </row>
    <row r="485" spans="1:10" hidden="1" x14ac:dyDescent="0.25">
      <c r="A485" s="28">
        <f t="shared" si="29"/>
        <v>46001</v>
      </c>
      <c r="B485" s="29">
        <f>+B483+1</f>
        <v>46001</v>
      </c>
      <c r="C485" s="30">
        <f t="shared" si="30"/>
        <v>46001</v>
      </c>
      <c r="D485" s="36">
        <f t="shared" si="31"/>
        <v>50</v>
      </c>
      <c r="E485" s="32">
        <v>8.5</v>
      </c>
      <c r="F485" s="67" t="s">
        <v>130</v>
      </c>
      <c r="G485" s="43" t="s">
        <v>137</v>
      </c>
      <c r="H485" s="43" t="s">
        <v>176</v>
      </c>
      <c r="I485" s="44"/>
      <c r="J485" s="35"/>
    </row>
    <row r="486" spans="1:10" hidden="1" x14ac:dyDescent="0.25">
      <c r="A486" s="28">
        <f t="shared" si="29"/>
        <v>46002</v>
      </c>
      <c r="B486" s="29">
        <f t="shared" si="32"/>
        <v>46002</v>
      </c>
      <c r="C486" s="30">
        <f t="shared" si="30"/>
        <v>46002</v>
      </c>
      <c r="D486" s="36">
        <f t="shared" si="31"/>
        <v>50</v>
      </c>
      <c r="E486" s="32">
        <v>1.5</v>
      </c>
      <c r="F486" s="67" t="s">
        <v>15</v>
      </c>
      <c r="G486" s="43" t="s">
        <v>16</v>
      </c>
      <c r="H486" s="43" t="s">
        <v>17</v>
      </c>
      <c r="I486" s="44"/>
      <c r="J486" s="35"/>
    </row>
    <row r="487" spans="1:10" hidden="1" x14ac:dyDescent="0.25">
      <c r="A487" s="28">
        <v>46002</v>
      </c>
      <c r="B487" s="29">
        <v>46002</v>
      </c>
      <c r="C487" s="30">
        <v>46002</v>
      </c>
      <c r="D487" s="36">
        <v>50</v>
      </c>
      <c r="E487" s="32">
        <v>7</v>
      </c>
      <c r="F487" s="67" t="s">
        <v>130</v>
      </c>
      <c r="G487" s="43" t="s">
        <v>137</v>
      </c>
      <c r="H487" s="43" t="s">
        <v>176</v>
      </c>
      <c r="I487" s="44"/>
      <c r="J487" s="35"/>
    </row>
    <row r="488" spans="1:10" hidden="1" x14ac:dyDescent="0.25">
      <c r="A488" s="28">
        <f t="shared" si="29"/>
        <v>46003</v>
      </c>
      <c r="B488" s="29">
        <f>+B486+1</f>
        <v>46003</v>
      </c>
      <c r="C488" s="30">
        <f t="shared" si="30"/>
        <v>46003</v>
      </c>
      <c r="D488" s="36">
        <f t="shared" si="31"/>
        <v>50</v>
      </c>
      <c r="E488" s="32">
        <v>6</v>
      </c>
      <c r="F488" s="67" t="s">
        <v>130</v>
      </c>
      <c r="G488" s="43" t="s">
        <v>137</v>
      </c>
      <c r="H488" s="43" t="s">
        <v>176</v>
      </c>
      <c r="I488" s="44"/>
      <c r="J488" s="35">
        <f>SUM(E482:E488)</f>
        <v>31.5</v>
      </c>
    </row>
    <row r="489" spans="1:10" hidden="1" x14ac:dyDescent="0.25">
      <c r="A489" s="28">
        <f t="shared" si="29"/>
        <v>46004</v>
      </c>
      <c r="B489" s="29">
        <f t="shared" si="32"/>
        <v>46004</v>
      </c>
      <c r="C489" s="30">
        <f t="shared" si="30"/>
        <v>46004</v>
      </c>
      <c r="D489" s="36">
        <f t="shared" si="31"/>
        <v>50</v>
      </c>
      <c r="E489" s="32"/>
      <c r="F489" s="67"/>
      <c r="G489" s="43"/>
      <c r="H489" s="43"/>
      <c r="I489" s="44"/>
      <c r="J489" s="35"/>
    </row>
    <row r="490" spans="1:10" hidden="1" x14ac:dyDescent="0.25">
      <c r="A490" s="28">
        <f t="shared" si="29"/>
        <v>46005</v>
      </c>
      <c r="B490" s="29">
        <f t="shared" si="32"/>
        <v>46005</v>
      </c>
      <c r="C490" s="30">
        <f t="shared" si="30"/>
        <v>46005</v>
      </c>
      <c r="D490" s="36">
        <f t="shared" si="31"/>
        <v>51</v>
      </c>
      <c r="E490" s="32"/>
      <c r="F490" s="67"/>
      <c r="G490" s="43"/>
      <c r="H490" s="43"/>
      <c r="I490" s="44"/>
      <c r="J490" s="35"/>
    </row>
    <row r="491" spans="1:10" hidden="1" x14ac:dyDescent="0.25">
      <c r="A491" s="28">
        <f t="shared" si="29"/>
        <v>46006</v>
      </c>
      <c r="B491" s="29">
        <f t="shared" si="32"/>
        <v>46006</v>
      </c>
      <c r="C491" s="30">
        <f t="shared" si="30"/>
        <v>46006</v>
      </c>
      <c r="D491" s="36">
        <f t="shared" si="31"/>
        <v>51</v>
      </c>
      <c r="E491" s="32">
        <v>8.5</v>
      </c>
      <c r="F491" s="67" t="s">
        <v>130</v>
      </c>
      <c r="G491" s="43" t="s">
        <v>137</v>
      </c>
      <c r="H491" s="43" t="s">
        <v>176</v>
      </c>
      <c r="I491" s="44"/>
      <c r="J491" s="35"/>
    </row>
    <row r="492" spans="1:10" hidden="1" x14ac:dyDescent="0.25">
      <c r="A492" s="28">
        <f t="shared" si="29"/>
        <v>46007</v>
      </c>
      <c r="B492" s="29">
        <f t="shared" si="32"/>
        <v>46007</v>
      </c>
      <c r="C492" s="30">
        <f t="shared" si="30"/>
        <v>46007</v>
      </c>
      <c r="D492" s="36">
        <f t="shared" si="31"/>
        <v>51</v>
      </c>
      <c r="E492" s="32">
        <v>1.5</v>
      </c>
      <c r="F492" s="67" t="s">
        <v>15</v>
      </c>
      <c r="G492" s="43" t="s">
        <v>16</v>
      </c>
      <c r="H492" s="43" t="s">
        <v>17</v>
      </c>
      <c r="I492" s="44"/>
      <c r="J492" s="35"/>
    </row>
    <row r="493" spans="1:10" hidden="1" x14ac:dyDescent="0.25">
      <c r="A493" s="28">
        <v>46007</v>
      </c>
      <c r="B493" s="29">
        <v>46007</v>
      </c>
      <c r="C493" s="30">
        <v>46007</v>
      </c>
      <c r="D493" s="36">
        <v>51</v>
      </c>
      <c r="E493" s="32">
        <v>7</v>
      </c>
      <c r="F493" s="67" t="s">
        <v>130</v>
      </c>
      <c r="G493" s="43" t="s">
        <v>137</v>
      </c>
      <c r="H493" s="43" t="s">
        <v>176</v>
      </c>
      <c r="I493" s="44"/>
      <c r="J493" s="35"/>
    </row>
    <row r="494" spans="1:10" hidden="1" x14ac:dyDescent="0.25">
      <c r="A494" s="28">
        <f t="shared" si="29"/>
        <v>46008</v>
      </c>
      <c r="B494" s="29">
        <f>+B492+1</f>
        <v>46008</v>
      </c>
      <c r="C494" s="30">
        <f t="shared" si="30"/>
        <v>46008</v>
      </c>
      <c r="D494" s="36">
        <f t="shared" si="31"/>
        <v>51</v>
      </c>
      <c r="E494" s="32">
        <v>8.5</v>
      </c>
      <c r="F494" s="67" t="s">
        <v>130</v>
      </c>
      <c r="G494" s="43" t="s">
        <v>137</v>
      </c>
      <c r="H494" s="43" t="s">
        <v>176</v>
      </c>
      <c r="I494" s="44"/>
      <c r="J494" s="35"/>
    </row>
    <row r="495" spans="1:10" hidden="1" x14ac:dyDescent="0.25">
      <c r="A495" s="28">
        <f t="shared" si="29"/>
        <v>46009</v>
      </c>
      <c r="B495" s="29">
        <f t="shared" si="32"/>
        <v>46009</v>
      </c>
      <c r="C495" s="30">
        <f t="shared" si="30"/>
        <v>46009</v>
      </c>
      <c r="D495" s="36">
        <f t="shared" si="31"/>
        <v>51</v>
      </c>
      <c r="E495" s="32">
        <v>1.5</v>
      </c>
      <c r="F495" s="67" t="s">
        <v>15</v>
      </c>
      <c r="G495" s="43" t="s">
        <v>16</v>
      </c>
      <c r="H495" s="43" t="s">
        <v>17</v>
      </c>
      <c r="I495" s="44"/>
      <c r="J495" s="35"/>
    </row>
    <row r="496" spans="1:10" hidden="1" x14ac:dyDescent="0.25">
      <c r="A496" s="28">
        <v>46009</v>
      </c>
      <c r="B496" s="29">
        <v>46009</v>
      </c>
      <c r="C496" s="30">
        <v>46009</v>
      </c>
      <c r="D496" s="36">
        <v>51</v>
      </c>
      <c r="E496" s="32">
        <v>2</v>
      </c>
      <c r="F496" s="67" t="s">
        <v>15</v>
      </c>
      <c r="G496" s="43" t="s">
        <v>19</v>
      </c>
      <c r="H496" s="43" t="s">
        <v>179</v>
      </c>
      <c r="I496" s="44"/>
      <c r="J496" s="35"/>
    </row>
    <row r="497" spans="1:10" hidden="1" x14ac:dyDescent="0.25">
      <c r="A497" s="28">
        <v>46009</v>
      </c>
      <c r="B497" s="29">
        <v>46009</v>
      </c>
      <c r="C497" s="30">
        <v>46009</v>
      </c>
      <c r="D497" s="36">
        <v>51</v>
      </c>
      <c r="E497" s="32">
        <v>5</v>
      </c>
      <c r="F497" s="67" t="s">
        <v>130</v>
      </c>
      <c r="G497" s="43" t="s">
        <v>137</v>
      </c>
      <c r="H497" s="43" t="s">
        <v>176</v>
      </c>
      <c r="I497" s="44"/>
      <c r="J497" s="35"/>
    </row>
    <row r="498" spans="1:10" hidden="1" x14ac:dyDescent="0.25">
      <c r="A498" s="28">
        <f t="shared" si="29"/>
        <v>46010</v>
      </c>
      <c r="B498" s="29">
        <f>+B495+1</f>
        <v>46010</v>
      </c>
      <c r="C498" s="30">
        <f t="shared" si="30"/>
        <v>46010</v>
      </c>
      <c r="D498" s="36">
        <f t="shared" si="31"/>
        <v>51</v>
      </c>
      <c r="E498" s="32">
        <v>6</v>
      </c>
      <c r="F498" s="67" t="s">
        <v>130</v>
      </c>
      <c r="G498" s="43" t="s">
        <v>137</v>
      </c>
      <c r="H498" s="43" t="s">
        <v>176</v>
      </c>
      <c r="I498" s="44"/>
      <c r="J498" s="35">
        <f>SUM(E491:E498)</f>
        <v>40</v>
      </c>
    </row>
    <row r="499" spans="1:10" hidden="1" x14ac:dyDescent="0.25">
      <c r="A499" s="28">
        <f t="shared" si="29"/>
        <v>46011</v>
      </c>
      <c r="B499" s="29">
        <f t="shared" si="32"/>
        <v>46011</v>
      </c>
      <c r="C499" s="30">
        <f t="shared" si="30"/>
        <v>46011</v>
      </c>
      <c r="D499" s="36">
        <f t="shared" si="31"/>
        <v>51</v>
      </c>
      <c r="E499" s="32"/>
      <c r="F499" s="67"/>
      <c r="G499" s="43"/>
      <c r="H499" s="43"/>
      <c r="I499" s="44"/>
      <c r="J499" s="35"/>
    </row>
    <row r="500" spans="1:10" hidden="1" x14ac:dyDescent="0.25">
      <c r="A500" s="28">
        <f t="shared" si="29"/>
        <v>46012</v>
      </c>
      <c r="B500" s="29">
        <f t="shared" si="32"/>
        <v>46012</v>
      </c>
      <c r="C500" s="30">
        <f t="shared" si="30"/>
        <v>46012</v>
      </c>
      <c r="D500" s="36">
        <f t="shared" si="31"/>
        <v>52</v>
      </c>
      <c r="E500" s="32"/>
      <c r="F500" s="67"/>
      <c r="G500" s="43"/>
      <c r="H500" s="43"/>
      <c r="I500" s="44"/>
      <c r="J500" s="35"/>
    </row>
    <row r="501" spans="1:10" hidden="1" x14ac:dyDescent="0.25">
      <c r="A501" s="28">
        <f t="shared" si="29"/>
        <v>46013</v>
      </c>
      <c r="B501" s="29">
        <f t="shared" si="32"/>
        <v>46013</v>
      </c>
      <c r="C501" s="30">
        <f t="shared" si="30"/>
        <v>46013</v>
      </c>
      <c r="D501" s="36">
        <f t="shared" si="31"/>
        <v>52</v>
      </c>
      <c r="E501" s="32">
        <v>8.5</v>
      </c>
      <c r="F501" s="67" t="s">
        <v>82</v>
      </c>
      <c r="G501" s="43" t="s">
        <v>83</v>
      </c>
      <c r="H501" s="43" t="s">
        <v>39</v>
      </c>
      <c r="I501" s="44"/>
      <c r="J501" s="35"/>
    </row>
    <row r="502" spans="1:10" hidden="1" x14ac:dyDescent="0.25">
      <c r="A502" s="28">
        <f t="shared" si="29"/>
        <v>46014</v>
      </c>
      <c r="B502" s="29">
        <f t="shared" si="32"/>
        <v>46014</v>
      </c>
      <c r="C502" s="30">
        <f t="shared" si="30"/>
        <v>46014</v>
      </c>
      <c r="D502" s="36">
        <f t="shared" si="31"/>
        <v>52</v>
      </c>
      <c r="E502" s="32">
        <v>8.5</v>
      </c>
      <c r="F502" s="67" t="s">
        <v>82</v>
      </c>
      <c r="G502" s="43" t="s">
        <v>83</v>
      </c>
      <c r="H502" s="43" t="s">
        <v>39</v>
      </c>
      <c r="I502" s="44"/>
      <c r="J502" s="35"/>
    </row>
    <row r="503" spans="1:10" hidden="1" x14ac:dyDescent="0.25">
      <c r="A503" s="28">
        <f t="shared" si="29"/>
        <v>46015</v>
      </c>
      <c r="B503" s="29">
        <f t="shared" si="32"/>
        <v>46015</v>
      </c>
      <c r="C503" s="30">
        <f t="shared" si="30"/>
        <v>46015</v>
      </c>
      <c r="D503" s="36">
        <f t="shared" si="31"/>
        <v>52</v>
      </c>
      <c r="E503" s="54" t="s">
        <v>33</v>
      </c>
      <c r="F503" s="66"/>
      <c r="G503" s="56"/>
      <c r="H503" s="56"/>
      <c r="I503" s="44"/>
      <c r="J503" s="35"/>
    </row>
    <row r="504" spans="1:10" hidden="1" x14ac:dyDescent="0.25">
      <c r="A504" s="28">
        <f t="shared" si="29"/>
        <v>46016</v>
      </c>
      <c r="B504" s="29">
        <f t="shared" si="32"/>
        <v>46016</v>
      </c>
      <c r="C504" s="30">
        <f t="shared" si="30"/>
        <v>46016</v>
      </c>
      <c r="D504" s="36">
        <f t="shared" si="31"/>
        <v>52</v>
      </c>
      <c r="E504" s="54" t="s">
        <v>33</v>
      </c>
      <c r="F504" s="66"/>
      <c r="G504" s="56"/>
      <c r="H504" s="56"/>
      <c r="I504" s="44"/>
      <c r="J504" s="35"/>
    </row>
    <row r="505" spans="1:10" hidden="1" x14ac:dyDescent="0.25">
      <c r="A505" s="28">
        <f t="shared" si="29"/>
        <v>46017</v>
      </c>
      <c r="B505" s="29">
        <f t="shared" si="32"/>
        <v>46017</v>
      </c>
      <c r="C505" s="30">
        <f t="shared" si="30"/>
        <v>46017</v>
      </c>
      <c r="D505" s="36">
        <f t="shared" si="31"/>
        <v>52</v>
      </c>
      <c r="E505" s="32">
        <v>6</v>
      </c>
      <c r="F505" s="67" t="s">
        <v>82</v>
      </c>
      <c r="G505" s="43" t="s">
        <v>83</v>
      </c>
      <c r="H505" s="43" t="s">
        <v>39</v>
      </c>
      <c r="I505" s="44"/>
      <c r="J505" s="35">
        <f>SUM(E501:E505)</f>
        <v>23</v>
      </c>
    </row>
    <row r="506" spans="1:10" hidden="1" x14ac:dyDescent="0.25">
      <c r="A506" s="28">
        <f t="shared" si="29"/>
        <v>46018</v>
      </c>
      <c r="B506" s="29">
        <f t="shared" si="32"/>
        <v>46018</v>
      </c>
      <c r="C506" s="30">
        <f t="shared" si="30"/>
        <v>46018</v>
      </c>
      <c r="D506" s="36">
        <f t="shared" si="31"/>
        <v>52</v>
      </c>
      <c r="E506" s="32"/>
      <c r="F506" s="67"/>
      <c r="G506" s="43"/>
      <c r="H506" s="43"/>
      <c r="I506" s="44"/>
      <c r="J506" s="35"/>
    </row>
    <row r="507" spans="1:10" hidden="1" x14ac:dyDescent="0.25">
      <c r="A507" s="28">
        <f t="shared" si="29"/>
        <v>46019</v>
      </c>
      <c r="B507" s="29">
        <f t="shared" si="32"/>
        <v>46019</v>
      </c>
      <c r="C507" s="30">
        <f t="shared" si="30"/>
        <v>46019</v>
      </c>
      <c r="D507" s="36">
        <v>1</v>
      </c>
      <c r="E507" s="32"/>
      <c r="F507" s="67"/>
      <c r="G507" s="43"/>
      <c r="H507" s="43"/>
      <c r="I507" s="44"/>
      <c r="J507" s="35"/>
    </row>
    <row r="508" spans="1:10" hidden="1" x14ac:dyDescent="0.25">
      <c r="A508" s="28">
        <f t="shared" si="29"/>
        <v>46020</v>
      </c>
      <c r="B508" s="29">
        <f t="shared" si="32"/>
        <v>46020</v>
      </c>
      <c r="C508" s="30">
        <f t="shared" si="30"/>
        <v>46020</v>
      </c>
      <c r="D508" s="36">
        <v>1</v>
      </c>
      <c r="E508" s="32">
        <v>8.5</v>
      </c>
      <c r="F508" s="67" t="s">
        <v>82</v>
      </c>
      <c r="G508" s="43" t="s">
        <v>83</v>
      </c>
      <c r="H508" s="43" t="s">
        <v>39</v>
      </c>
      <c r="I508" s="44"/>
      <c r="J508" s="35"/>
    </row>
    <row r="509" spans="1:10" hidden="1" x14ac:dyDescent="0.25">
      <c r="A509" s="28">
        <f t="shared" si="29"/>
        <v>46021</v>
      </c>
      <c r="B509" s="29">
        <f t="shared" si="32"/>
        <v>46021</v>
      </c>
      <c r="C509" s="30">
        <f t="shared" si="30"/>
        <v>46021</v>
      </c>
      <c r="D509" s="36">
        <v>1</v>
      </c>
      <c r="E509" s="32">
        <v>8.5</v>
      </c>
      <c r="F509" s="67" t="s">
        <v>82</v>
      </c>
      <c r="G509" s="43" t="s">
        <v>83</v>
      </c>
      <c r="H509" s="43" t="s">
        <v>39</v>
      </c>
      <c r="I509" s="44"/>
      <c r="J509" s="35"/>
    </row>
    <row r="510" spans="1:10" hidden="1" x14ac:dyDescent="0.25">
      <c r="A510" s="28">
        <f t="shared" si="29"/>
        <v>46022</v>
      </c>
      <c r="B510" s="29">
        <f t="shared" si="32"/>
        <v>46022</v>
      </c>
      <c r="C510" s="30">
        <f t="shared" si="30"/>
        <v>46022</v>
      </c>
      <c r="D510" s="36">
        <v>1</v>
      </c>
      <c r="E510" s="54" t="s">
        <v>33</v>
      </c>
      <c r="F510" s="66"/>
      <c r="G510" s="56"/>
      <c r="H510" s="56"/>
      <c r="I510" s="44"/>
      <c r="J510" s="35">
        <f>SUM(E508:E510)</f>
        <v>17</v>
      </c>
    </row>
  </sheetData>
  <autoFilter ref="A3:H510" xr:uid="{86AE9742-9EED-4547-842A-F98704D27CC9}">
    <filterColumn colId="5">
      <filters>
        <filter val="33124001 Restart E6 Ranheim Vaernes"/>
      </filters>
    </filterColumn>
  </autoFilter>
  <conditionalFormatting sqref="B4:B220 B222:B510">
    <cfRule type="expression" dxfId="555" priority="540">
      <formula>OR($E4=VACACIONES)</formula>
    </cfRule>
  </conditionalFormatting>
  <conditionalFormatting sqref="B221">
    <cfRule type="expression" dxfId="554" priority="555">
      <formula>OR($F221=VACACIONES)</formula>
    </cfRule>
  </conditionalFormatting>
  <conditionalFormatting sqref="B4:C55 D5:D55 B56:D220 B222:D510 E56:H57 E128:H129 E98:H103 E125:H125 E177:H179">
    <cfRule type="expression" dxfId="553" priority="539">
      <formula>OR($E4="VACACIONES",$E4="ENFERMEDAD")</formula>
    </cfRule>
  </conditionalFormatting>
  <conditionalFormatting sqref="B221:D221">
    <cfRule type="expression" dxfId="552" priority="556">
      <formula>OR($F221="VACACIONES",$F221="ENFERMEDAD")</formula>
    </cfRule>
  </conditionalFormatting>
  <conditionalFormatting sqref="B4:E4 B5:D510 E56:E57 E102:E104 E114:E127 E90:E91 E316:E317 E319:E320 E326:E327 E329:E331 E376:E420 E422:E441 E443:E448 E450:E481 E483:E500 E506:E507">
    <cfRule type="timePeriod" dxfId="551" priority="541" timePeriod="today">
      <formula>FLOOR(B4,1)=TODAY()</formula>
    </cfRule>
  </conditionalFormatting>
  <conditionalFormatting sqref="C4:D510">
    <cfRule type="expression" dxfId="550" priority="538">
      <formula>OR(WEEKDAY(B4,1)=7,WEEKDAY(B4,1)=1)</formula>
    </cfRule>
  </conditionalFormatting>
  <conditionalFormatting sqref="D4:H4">
    <cfRule type="expression" dxfId="549" priority="537">
      <formula>OR($E4="VACACIONES",$E4="ENFERMEDAD")</formula>
    </cfRule>
  </conditionalFormatting>
  <conditionalFormatting sqref="E5:E6">
    <cfRule type="expression" dxfId="548" priority="306">
      <formula>OR($E5="VACACIONES",$E5="ENFERMEDAD")</formula>
    </cfRule>
    <cfRule type="timePeriod" dxfId="547" priority="307" timePeriod="today">
      <formula>FLOOR(E5,1)=TODAY()</formula>
    </cfRule>
  </conditionalFormatting>
  <conditionalFormatting sqref="E7:E9">
    <cfRule type="timePeriod" dxfId="546" priority="496" timePeriod="today">
      <formula>FLOOR(E7,1)=TODAY()</formula>
    </cfRule>
  </conditionalFormatting>
  <conditionalFormatting sqref="E10:E13">
    <cfRule type="expression" dxfId="545" priority="304">
      <formula>OR($E10="VACACIONES",$E10="ENFERMEDAD")</formula>
    </cfRule>
    <cfRule type="timePeriod" dxfId="544" priority="305" timePeriod="today">
      <formula>FLOOR(E10,1)=TODAY()</formula>
    </cfRule>
  </conditionalFormatting>
  <conditionalFormatting sqref="E14:E16">
    <cfRule type="timePeriod" dxfId="543" priority="492" timePeriod="today">
      <formula>FLOOR(E14,1)=TODAY()</formula>
    </cfRule>
  </conditionalFormatting>
  <conditionalFormatting sqref="E16">
    <cfRule type="timePeriod" dxfId="542" priority="488" timePeriod="today">
      <formula>FLOOR(E16,1)=TODAY()</formula>
    </cfRule>
  </conditionalFormatting>
  <conditionalFormatting sqref="E17:E18">
    <cfRule type="timePeriod" dxfId="541" priority="536" timePeriod="today">
      <formula>FLOOR(E17,1)=TODAY()</formula>
    </cfRule>
  </conditionalFormatting>
  <conditionalFormatting sqref="E19">
    <cfRule type="timePeriod" dxfId="539" priority="478" timePeriod="today">
      <formula>FLOOR(E19,1)=TODAY()</formula>
    </cfRule>
    <cfRule type="timePeriod" dxfId="540" priority="482" timePeriod="today">
      <formula>FLOOR(E19,1)=TODAY()</formula>
    </cfRule>
  </conditionalFormatting>
  <conditionalFormatting sqref="E22">
    <cfRule type="expression" dxfId="538" priority="301">
      <formula>OR($E22="VACACIONES",$E22="ENFERMEDAD")</formula>
    </cfRule>
    <cfRule type="timePeriod" dxfId="537" priority="302" timePeriod="today">
      <formula>FLOOR(E22,1)=TODAY()</formula>
    </cfRule>
  </conditionalFormatting>
  <conditionalFormatting sqref="E23">
    <cfRule type="timePeriod" dxfId="536" priority="532" timePeriod="today">
      <formula>FLOOR(E23,1)=TODAY()</formula>
    </cfRule>
  </conditionalFormatting>
  <conditionalFormatting sqref="E23:E24">
    <cfRule type="timePeriod" dxfId="535" priority="529" timePeriod="today">
      <formula>FLOOR(E23,1)=TODAY()</formula>
    </cfRule>
  </conditionalFormatting>
  <conditionalFormatting sqref="E24:E26">
    <cfRule type="timePeriod" dxfId="534" priority="477" timePeriod="today">
      <formula>FLOOR(E24,1)=TODAY()</formula>
    </cfRule>
  </conditionalFormatting>
  <conditionalFormatting sqref="E25:E31">
    <cfRule type="timePeriod" dxfId="533" priority="472" timePeriod="today">
      <formula>FLOOR(E25,1)=TODAY()</formula>
    </cfRule>
  </conditionalFormatting>
  <conditionalFormatting sqref="E32">
    <cfRule type="timePeriod" dxfId="531" priority="464" timePeriod="today">
      <formula>FLOOR(E32,1)=TODAY()</formula>
    </cfRule>
    <cfRule type="timePeriod" dxfId="532" priority="468" timePeriod="today">
      <formula>FLOOR(E32,1)=TODAY()</formula>
    </cfRule>
  </conditionalFormatting>
  <conditionalFormatting sqref="E33">
    <cfRule type="expression" dxfId="528" priority="524">
      <formula>OR(WEEKDAY(B33,1)=7,WEEKDAY(B33,1)=1)</formula>
    </cfRule>
    <cfRule type="expression" dxfId="529" priority="525">
      <formula>OR($E33="VACACIONES",$E33="ENFERMEDAD")</formula>
    </cfRule>
    <cfRule type="timePeriod" dxfId="530" priority="526" timePeriod="today">
      <formula>FLOOR(E33,1)=TODAY()</formula>
    </cfRule>
  </conditionalFormatting>
  <conditionalFormatting sqref="E33:E34">
    <cfRule type="timePeriod" dxfId="527" priority="485" timePeriod="today">
      <formula>FLOOR(E33,1)=TODAY()</formula>
    </cfRule>
  </conditionalFormatting>
  <conditionalFormatting sqref="E34:E35 E329:F331">
    <cfRule type="expression" dxfId="526" priority="457">
      <formula>OR(WEEKDAY(B34,1)=7,WEEKDAY(B34,1)=1)</formula>
    </cfRule>
  </conditionalFormatting>
  <conditionalFormatting sqref="E35">
    <cfRule type="expression" dxfId="525" priority="458">
      <formula>OR($E35="VACACIONES",$E35="ENFERMEDAD")</formula>
    </cfRule>
    <cfRule type="timePeriod" dxfId="524" priority="459" timePeriod="today">
      <formula>FLOOR(E35,1)=TODAY()</formula>
    </cfRule>
  </conditionalFormatting>
  <conditionalFormatting sqref="E35:E37">
    <cfRule type="timePeriod" dxfId="523" priority="452" timePeriod="today">
      <formula>FLOOR(E35,1)=TODAY()</formula>
    </cfRule>
  </conditionalFormatting>
  <conditionalFormatting sqref="E36">
    <cfRule type="timePeriod" dxfId="522" priority="449" timePeriod="today">
      <formula>FLOOR(E36,1)=TODAY()</formula>
    </cfRule>
  </conditionalFormatting>
  <conditionalFormatting sqref="E37:E38">
    <cfRule type="timePeriod" dxfId="521" priority="523" timePeriod="today">
      <formula>FLOOR(E37,1)=TODAY()</formula>
    </cfRule>
  </conditionalFormatting>
  <conditionalFormatting sqref="E39:E41">
    <cfRule type="timePeriod" dxfId="520" priority="438" timePeriod="today">
      <formula>FLOOR(E39,1)=TODAY()</formula>
    </cfRule>
  </conditionalFormatting>
  <conditionalFormatting sqref="E39:E46">
    <cfRule type="timePeriod" dxfId="519" priority="442" timePeriod="today">
      <formula>FLOOR(E39,1)=TODAY()</formula>
    </cfRule>
  </conditionalFormatting>
  <conditionalFormatting sqref="E42:E43">
    <cfRule type="expression" dxfId="518" priority="446">
      <formula>OR(WEEKDAY(B42,1)=7,WEEKDAY(B42,1)=1)</formula>
    </cfRule>
    <cfRule type="timePeriod" dxfId="517" priority="448" timePeriod="today">
      <formula>FLOOR(E42,1)=TODAY()</formula>
    </cfRule>
  </conditionalFormatting>
  <conditionalFormatting sqref="E44:E45">
    <cfRule type="timePeriod" dxfId="516" priority="434" timePeriod="today">
      <formula>FLOOR(E44,1)=TODAY()</formula>
    </cfRule>
  </conditionalFormatting>
  <conditionalFormatting sqref="E46">
    <cfRule type="expression" dxfId="515" priority="443">
      <formula>OR(WEEKDAY(B46,1)=7,WEEKDAY(B46,1)=1)</formula>
    </cfRule>
    <cfRule type="expression" dxfId="514" priority="444">
      <formula>OR($E46="VACACIONES",$E46="ENFERMEDAD")</formula>
    </cfRule>
  </conditionalFormatting>
  <conditionalFormatting sqref="E46:E48">
    <cfRule type="timePeriod" dxfId="513" priority="445" timePeriod="today">
      <formula>FLOOR(E46,1)=TODAY()</formula>
    </cfRule>
  </conditionalFormatting>
  <conditionalFormatting sqref="E47:E48">
    <cfRule type="expression" dxfId="510" priority="516">
      <formula>OR(WEEKDAY(B47,1)=7,WEEKDAY(B47,1)=1)</formula>
    </cfRule>
    <cfRule type="expression" dxfId="512" priority="517">
      <formula>OR($E47="VACACIONES",$E47="ENFERMEDAD")</formula>
    </cfRule>
    <cfRule type="timePeriod" dxfId="511" priority="518" timePeriod="today">
      <formula>FLOOR(E47,1)=TODAY()</formula>
    </cfRule>
  </conditionalFormatting>
  <conditionalFormatting sqref="E49:E50">
    <cfRule type="timePeriod" dxfId="509" priority="430" timePeriod="today">
      <formula>FLOOR(E49,1)=TODAY()</formula>
    </cfRule>
  </conditionalFormatting>
  <conditionalFormatting sqref="E49:E52">
    <cfRule type="timePeriod" dxfId="508" priority="433" timePeriod="today">
      <formula>FLOOR(E49,1)=TODAY()</formula>
    </cfRule>
  </conditionalFormatting>
  <conditionalFormatting sqref="E53">
    <cfRule type="timePeriod" dxfId="507" priority="429" timePeriod="today">
      <formula>FLOOR(E53,1)=TODAY()</formula>
    </cfRule>
  </conditionalFormatting>
  <conditionalFormatting sqref="E53:E55">
    <cfRule type="timePeriod" dxfId="506" priority="422" timePeriod="today">
      <formula>FLOOR(E53,1)=TODAY()</formula>
    </cfRule>
  </conditionalFormatting>
  <conditionalFormatting sqref="E54:E55 E98:F103 E125:F125">
    <cfRule type="expression" dxfId="505" priority="493">
      <formula>OR(WEEKDAY(B54,1)=7,WEEKDAY(B54,1)=1)</formula>
    </cfRule>
  </conditionalFormatting>
  <conditionalFormatting sqref="E58:E60">
    <cfRule type="timePeriod" dxfId="503" priority="416" timePeriod="today">
      <formula>FLOOR(E58,1)=TODAY()</formula>
    </cfRule>
    <cfRule type="expression" dxfId="504" priority="417">
      <formula>OR(WEEKDAY(B58,1)=7,WEEKDAY(B58,1)=1)</formula>
    </cfRule>
  </conditionalFormatting>
  <conditionalFormatting sqref="E61:E62">
    <cfRule type="timePeriod" dxfId="502" priority="421" timePeriod="today">
      <formula>FLOOR(E61,1)=TODAY()</formula>
    </cfRule>
  </conditionalFormatting>
  <conditionalFormatting sqref="E63:E64">
    <cfRule type="timePeriod" dxfId="501" priority="513" timePeriod="today">
      <formula>FLOOR(E63,1)=TODAY()</formula>
    </cfRule>
  </conditionalFormatting>
  <conditionalFormatting sqref="E64:E65">
    <cfRule type="timePeriod" dxfId="500" priority="415" timePeriod="today">
      <formula>FLOOR(E64,1)=TODAY()</formula>
    </cfRule>
  </conditionalFormatting>
  <conditionalFormatting sqref="E66:E68">
    <cfRule type="expression" dxfId="499" priority="406">
      <formula>OR(WEEKDAY(B66,1)=7,WEEKDAY(B66,1)=1)</formula>
    </cfRule>
  </conditionalFormatting>
  <conditionalFormatting sqref="E66:E70">
    <cfRule type="timePeriod" dxfId="498" priority="404" timePeriod="today">
      <formula>FLOOR(E66,1)=TODAY()</formula>
    </cfRule>
  </conditionalFormatting>
  <conditionalFormatting sqref="E71:E75">
    <cfRule type="expression" dxfId="497" priority="396">
      <formula>OR(WEEKDAY(B71,1)=7,WEEKDAY(B71,1)=1)</formula>
    </cfRule>
  </conditionalFormatting>
  <conditionalFormatting sqref="E71:E77">
    <cfRule type="timePeriod" dxfId="496" priority="395" timePeriod="today">
      <formula>FLOOR(E71,1)=TODAY()</formula>
    </cfRule>
  </conditionalFormatting>
  <conditionalFormatting sqref="E73">
    <cfRule type="expression" dxfId="495" priority="400">
      <formula>OR($E73="VACACIONES",$E73="ENFERMEDAD")</formula>
    </cfRule>
  </conditionalFormatting>
  <conditionalFormatting sqref="E76">
    <cfRule type="timePeriod" dxfId="494" priority="512" timePeriod="today">
      <formula>FLOOR(E76,1)=TODAY()</formula>
    </cfRule>
  </conditionalFormatting>
  <conditionalFormatting sqref="E78:E79">
    <cfRule type="timePeriod" dxfId="493" priority="383" timePeriod="today">
      <formula>FLOOR(E78,1)=TODAY()</formula>
    </cfRule>
  </conditionalFormatting>
  <conditionalFormatting sqref="E80 E84:E86">
    <cfRule type="timePeriod" dxfId="492" priority="511" timePeriod="today">
      <formula>FLOOR(E80,1)=TODAY()</formula>
    </cfRule>
  </conditionalFormatting>
  <conditionalFormatting sqref="E80">
    <cfRule type="expression" dxfId="491" priority="390">
      <formula>OR(WEEKDAY(B80,1)=7,WEEKDAY(B80,1)=1)</formula>
    </cfRule>
  </conditionalFormatting>
  <conditionalFormatting sqref="E81:E83">
    <cfRule type="timePeriod" dxfId="490" priority="379" timePeriod="today">
      <formula>FLOOR(E81,1)=TODAY()</formula>
    </cfRule>
  </conditionalFormatting>
  <conditionalFormatting sqref="E84:E86 E80">
    <cfRule type="expression" dxfId="489" priority="506">
      <formula>OR($E80="VACACIONES",$E80="ENFERMEDAD")</formula>
    </cfRule>
  </conditionalFormatting>
  <conditionalFormatting sqref="E84:E86">
    <cfRule type="expression" dxfId="488" priority="505">
      <formula>OR(WEEKDAY(B84,1)=7,WEEKDAY(B84,1)=1)</formula>
    </cfRule>
  </conditionalFormatting>
  <conditionalFormatting sqref="E87:E91">
    <cfRule type="timePeriod" dxfId="487" priority="375" timePeriod="today">
      <formula>FLOOR(E87,1)=TODAY()</formula>
    </cfRule>
  </conditionalFormatting>
  <conditionalFormatting sqref="E92">
    <cfRule type="timePeriod" dxfId="486" priority="369" timePeriod="today">
      <formula>FLOOR(E92,1)=TODAY()</formula>
    </cfRule>
  </conditionalFormatting>
  <conditionalFormatting sqref="E93:E94">
    <cfRule type="expression" dxfId="483" priority="363">
      <formula>OR(WEEKDAY(B93,1)=7,WEEKDAY(B93,1)=1)</formula>
    </cfRule>
    <cfRule type="expression" dxfId="484" priority="364">
      <formula>OR($E93="VACACIONES",$E93="ENFERMEDAD")</formula>
    </cfRule>
    <cfRule type="timePeriod" dxfId="485" priority="365" timePeriod="today">
      <formula>FLOOR(E93,1)=TODAY()</formula>
    </cfRule>
  </conditionalFormatting>
  <conditionalFormatting sqref="E95">
    <cfRule type="timePeriod" dxfId="482" priority="359" timePeriod="today">
      <formula>FLOOR(E95,1)=TODAY()</formula>
    </cfRule>
  </conditionalFormatting>
  <conditionalFormatting sqref="E96 E17:E18 E56:F57">
    <cfRule type="expression" dxfId="481" priority="533">
      <formula>OR(WEEKDAY(B17,1)=7,WEEKDAY(B17,1)=1)</formula>
    </cfRule>
  </conditionalFormatting>
  <conditionalFormatting sqref="E96:E97">
    <cfRule type="timePeriod" dxfId="480" priority="355" timePeriod="today">
      <formula>FLOOR(E96,1)=TODAY()</formula>
    </cfRule>
  </conditionalFormatting>
  <conditionalFormatting sqref="E97">
    <cfRule type="expression" dxfId="479" priority="348">
      <formula>OR(WEEKDAY(B97,1)=7,WEEKDAY(B97,1)=1)</formula>
    </cfRule>
  </conditionalFormatting>
  <conditionalFormatting sqref="E98:E99">
    <cfRule type="timePeriod" dxfId="478" priority="341" timePeriod="today">
      <formula>FLOOR(E98,1)=TODAY()</formula>
    </cfRule>
  </conditionalFormatting>
  <conditionalFormatting sqref="E104">
    <cfRule type="expression" dxfId="477" priority="335">
      <formula>OR(WEEKDAY(B104,1)=7,WEEKDAY(B104,1)=1)</formula>
    </cfRule>
  </conditionalFormatting>
  <conditionalFormatting sqref="E104:E106">
    <cfRule type="timePeriod" dxfId="476" priority="337" timePeriod="today">
      <formula>FLOOR(E104,1)=TODAY()</formula>
    </cfRule>
  </conditionalFormatting>
  <conditionalFormatting sqref="E107:E112">
    <cfRule type="timePeriod" dxfId="475" priority="328" timePeriod="today">
      <formula>FLOOR(E107,1)=TODAY()</formula>
    </cfRule>
  </conditionalFormatting>
  <conditionalFormatting sqref="E111:E112">
    <cfRule type="expression" dxfId="474" priority="329">
      <formula>OR(WEEKDAY(B111,1)=7,WEEKDAY(B111,1)=1)</formula>
    </cfRule>
  </conditionalFormatting>
  <conditionalFormatting sqref="E111:E113">
    <cfRule type="timePeriod" dxfId="473" priority="331" timePeriod="today">
      <formula>FLOOR(E111,1)=TODAY()</formula>
    </cfRule>
  </conditionalFormatting>
  <conditionalFormatting sqref="E113">
    <cfRule type="expression" dxfId="471" priority="499">
      <formula>OR(WEEKDAY(B113,1)=7,WEEKDAY(B113,1)=1)</formula>
    </cfRule>
    <cfRule type="expression" dxfId="472" priority="500">
      <formula>OR($E113="VACACIONES",$E113="ENFERMEDAD")</formula>
    </cfRule>
  </conditionalFormatting>
  <conditionalFormatting sqref="E124:E125">
    <cfRule type="timePeriod" dxfId="470" priority="322" timePeriod="today">
      <formula>FLOOR(E124,1)=TODAY()</formula>
    </cfRule>
  </conditionalFormatting>
  <conditionalFormatting sqref="E128:E134">
    <cfRule type="timePeriod" dxfId="469" priority="498" timePeriod="today">
      <formula>FLOOR(E128,1)=TODAY()</formula>
    </cfRule>
  </conditionalFormatting>
  <conditionalFormatting sqref="E135:E139">
    <cfRule type="timePeriod" dxfId="468" priority="299" timePeriod="today">
      <formula>FLOOR(E135,1)=TODAY()</formula>
    </cfRule>
  </conditionalFormatting>
  <conditionalFormatting sqref="E138:E139">
    <cfRule type="timePeriod" dxfId="467" priority="317" timePeriod="today">
      <formula>FLOOR(E138,1)=TODAY()</formula>
    </cfRule>
  </conditionalFormatting>
  <conditionalFormatting sqref="E144:E146">
    <cfRule type="timePeriod" dxfId="466" priority="283" timePeriod="today">
      <formula>FLOOR(E144,1)=TODAY()</formula>
    </cfRule>
  </conditionalFormatting>
  <conditionalFormatting sqref="E147">
    <cfRule type="expression" dxfId="465" priority="284">
      <formula>OR(WEEKDAY(B147,1)=7,WEEKDAY(B147,1)=1)</formula>
    </cfRule>
    <cfRule type="timePeriod" dxfId="464" priority="287" timePeriod="today">
      <formula>FLOOR(E147,1)=TODAY()</formula>
    </cfRule>
  </conditionalFormatting>
  <conditionalFormatting sqref="E148 E152:E153 E156:E157 E160:E161 E167:E169 E172:E173 E185:E186 E189 E193 E195:E196 E200:E201 E205:E206 E208 E210 E213 E216:E217 E220 E222 E225:E226 E234:E235 E241:E242 E248:E249 E256:E257 E263:E264 E268 E270:E271 E278:E279 E284:E287 E293:E294 E300:E301 E303:E305 E307 E309:E310">
    <cfRule type="timePeriod" dxfId="463" priority="295" timePeriod="today">
      <formula>FLOOR(E148,1)=TODAY()</formula>
    </cfRule>
  </conditionalFormatting>
  <conditionalFormatting sqref="E149:E151">
    <cfRule type="timePeriod" dxfId="462" priority="280" timePeriod="today">
      <formula>FLOOR(E149,1)=TODAY()</formula>
    </cfRule>
  </conditionalFormatting>
  <conditionalFormatting sqref="E154:E155">
    <cfRule type="timePeriod" dxfId="461" priority="277" timePeriod="today">
      <formula>FLOOR(E154,1)=TODAY()</formula>
    </cfRule>
  </conditionalFormatting>
  <conditionalFormatting sqref="E158:E159">
    <cfRule type="timePeriod" dxfId="460" priority="269" timePeriod="today">
      <formula>FLOOR(E158,1)=TODAY()</formula>
    </cfRule>
  </conditionalFormatting>
  <conditionalFormatting sqref="E162:E166">
    <cfRule type="timePeriod" dxfId="459" priority="266" timePeriod="today">
      <formula>FLOOR(E162,1)=TODAY()</formula>
    </cfRule>
  </conditionalFormatting>
  <conditionalFormatting sqref="E170:E171">
    <cfRule type="timePeriod" dxfId="458" priority="263" timePeriod="today">
      <formula>FLOOR(E170,1)=TODAY()</formula>
    </cfRule>
  </conditionalFormatting>
  <conditionalFormatting sqref="E174:E182">
    <cfRule type="timePeriod" dxfId="457" priority="260" timePeriod="today">
      <formula>FLOOR(E174,1)=TODAY()</formula>
    </cfRule>
  </conditionalFormatting>
  <conditionalFormatting sqref="E183:E184">
    <cfRule type="timePeriod" dxfId="456" priority="272" timePeriod="today">
      <formula>FLOOR(E183,1)=TODAY()</formula>
    </cfRule>
  </conditionalFormatting>
  <conditionalFormatting sqref="E187:E188">
    <cfRule type="timePeriod" dxfId="455" priority="250" timePeriod="today">
      <formula>FLOOR(E187,1)=TODAY()</formula>
    </cfRule>
  </conditionalFormatting>
  <conditionalFormatting sqref="E190:E192">
    <cfRule type="timePeriod" dxfId="454" priority="246" timePeriod="today">
      <formula>FLOOR(E190,1)=TODAY()</formula>
    </cfRule>
  </conditionalFormatting>
  <conditionalFormatting sqref="E194">
    <cfRule type="timePeriod" dxfId="453" priority="242" timePeriod="today">
      <formula>FLOOR(E194,1)=TODAY()</formula>
    </cfRule>
  </conditionalFormatting>
  <conditionalFormatting sqref="E197:E201">
    <cfRule type="timePeriod" dxfId="452" priority="238" timePeriod="today">
      <formula>FLOOR(E197,1)=TODAY()</formula>
    </cfRule>
  </conditionalFormatting>
  <conditionalFormatting sqref="E202 E203:F204">
    <cfRule type="expression" dxfId="451" priority="233">
      <formula>OR(WEEKDAY(B202,1)=7,WEEKDAY(B202,1)=1)</formula>
    </cfRule>
  </conditionalFormatting>
  <conditionalFormatting sqref="E202">
    <cfRule type="expression" dxfId="450" priority="234">
      <formula>OR($E202="VACACIONES",$E202="ENFERMEDAD")</formula>
    </cfRule>
    <cfRule type="timePeriod" dxfId="449" priority="235" timePeriod="today">
      <formula>FLOOR(E202,1)=TODAY()</formula>
    </cfRule>
  </conditionalFormatting>
  <conditionalFormatting sqref="E203:E204">
    <cfRule type="timePeriod" dxfId="448" priority="255" timePeriod="today">
      <formula>FLOOR(E203,1)=TODAY()</formula>
    </cfRule>
  </conditionalFormatting>
  <conditionalFormatting sqref="E207">
    <cfRule type="timePeriod" dxfId="447" priority="224" timePeriod="today">
      <formula>FLOOR(E207,1)=TODAY()</formula>
    </cfRule>
  </conditionalFormatting>
  <conditionalFormatting sqref="E209">
    <cfRule type="timePeriod" dxfId="446" priority="227" timePeriod="today">
      <formula>FLOOR(E209,1)=TODAY()</formula>
    </cfRule>
  </conditionalFormatting>
  <conditionalFormatting sqref="E211:E212">
    <cfRule type="timePeriod" dxfId="445" priority="220" timePeriod="today">
      <formula>FLOOR(E211,1)=TODAY()</formula>
    </cfRule>
  </conditionalFormatting>
  <conditionalFormatting sqref="E214:E215">
    <cfRule type="timePeriod" dxfId="444" priority="216" timePeriod="today">
      <formula>FLOOR(E214,1)=TODAY()</formula>
    </cfRule>
  </conditionalFormatting>
  <conditionalFormatting sqref="E218:E219">
    <cfRule type="timePeriod" dxfId="443" priority="208" timePeriod="today">
      <formula>FLOOR(E218,1)=TODAY()</formula>
    </cfRule>
  </conditionalFormatting>
  <conditionalFormatting sqref="E221">
    <cfRule type="timePeriod" dxfId="442" priority="212" timePeriod="today">
      <formula>FLOOR(E221,1)=TODAY()</formula>
    </cfRule>
  </conditionalFormatting>
  <conditionalFormatting sqref="E223">
    <cfRule type="timePeriod" dxfId="441" priority="253" timePeriod="today">
      <formula>FLOOR(E223,1)=TODAY()</formula>
    </cfRule>
  </conditionalFormatting>
  <conditionalFormatting sqref="E224">
    <cfRule type="timePeriod" dxfId="440" priority="204" timePeriod="today">
      <formula>FLOOR(E224,1)=TODAY()</formula>
    </cfRule>
  </conditionalFormatting>
  <conditionalFormatting sqref="E227:E230">
    <cfRule type="timePeriod" dxfId="439" priority="197" timePeriod="today">
      <formula>FLOOR(E227,1)=TODAY()</formula>
    </cfRule>
  </conditionalFormatting>
  <conditionalFormatting sqref="E231:E232">
    <cfRule type="timePeriod" dxfId="438" priority="194" timePeriod="today">
      <formula>FLOOR(E231,1)=TODAY()</formula>
    </cfRule>
  </conditionalFormatting>
  <conditionalFormatting sqref="E233">
    <cfRule type="timePeriod" dxfId="437" priority="200" timePeriod="today">
      <formula>FLOOR(E233,1)=TODAY()</formula>
    </cfRule>
  </conditionalFormatting>
  <conditionalFormatting sqref="E236:E240">
    <cfRule type="timePeriod" dxfId="436" priority="186" timePeriod="today">
      <formula>FLOOR(E236,1)=TODAY()</formula>
    </cfRule>
  </conditionalFormatting>
  <conditionalFormatting sqref="E243:E247">
    <cfRule type="timePeriod" dxfId="435" priority="182" timePeriod="today">
      <formula>FLOOR(E243,1)=TODAY()</formula>
    </cfRule>
  </conditionalFormatting>
  <conditionalFormatting sqref="E250:E255">
    <cfRule type="timePeriod" dxfId="434" priority="178" timePeriod="today">
      <formula>FLOOR(E250,1)=TODAY()</formula>
    </cfRule>
  </conditionalFormatting>
  <conditionalFormatting sqref="E258:E262">
    <cfRule type="timePeriod" dxfId="433" priority="174" timePeriod="today">
      <formula>FLOOR(E258,1)=TODAY()</formula>
    </cfRule>
  </conditionalFormatting>
  <conditionalFormatting sqref="E265:E267">
    <cfRule type="timePeriod" dxfId="432" priority="170" timePeriod="today">
      <formula>FLOOR(E265,1)=TODAY()</formula>
    </cfRule>
  </conditionalFormatting>
  <conditionalFormatting sqref="E269">
    <cfRule type="timePeriod" dxfId="431" priority="166" timePeriod="today">
      <formula>FLOOR(E269,1)=TODAY()</formula>
    </cfRule>
  </conditionalFormatting>
  <conditionalFormatting sqref="E272:E277">
    <cfRule type="timePeriod" dxfId="430" priority="162" timePeriod="today">
      <formula>FLOOR(E272,1)=TODAY()</formula>
    </cfRule>
  </conditionalFormatting>
  <conditionalFormatting sqref="E280:E283">
    <cfRule type="timePeriod" dxfId="429" priority="158" timePeriod="today">
      <formula>FLOOR(E280,1)=TODAY()</formula>
    </cfRule>
  </conditionalFormatting>
  <conditionalFormatting sqref="E288:E292">
    <cfRule type="expression" dxfId="427" priority="144">
      <formula>OR($E288="VACACIONES",$E288="ENFERMEDAD")</formula>
    </cfRule>
    <cfRule type="timePeriod" dxfId="428" priority="145" timePeriod="today">
      <formula>FLOOR(E288,1)=TODAY()</formula>
    </cfRule>
  </conditionalFormatting>
  <conditionalFormatting sqref="E295:E298">
    <cfRule type="expression" dxfId="426" priority="139">
      <formula>OR($E295="VACACIONES",$E295="ENFERMEDAD")</formula>
    </cfRule>
    <cfRule type="timePeriod" dxfId="425" priority="140" timePeriod="today">
      <formula>FLOOR(E295,1)=TODAY()</formula>
    </cfRule>
  </conditionalFormatting>
  <conditionalFormatting sqref="E299">
    <cfRule type="timePeriod" dxfId="424" priority="149" timePeriod="today">
      <formula>FLOOR(E299,1)=TODAY()</formula>
    </cfRule>
  </conditionalFormatting>
  <conditionalFormatting sqref="E302">
    <cfRule type="timePeriod" dxfId="423" priority="137" timePeriod="today">
      <formula>FLOOR(E302,1)=TODAY()</formula>
    </cfRule>
  </conditionalFormatting>
  <conditionalFormatting sqref="E306">
    <cfRule type="timePeriod" dxfId="422" priority="130" timePeriod="today">
      <formula>FLOOR(E306,1)=TODAY()</formula>
    </cfRule>
  </conditionalFormatting>
  <conditionalFormatting sqref="E308">
    <cfRule type="timePeriod" dxfId="421" priority="126" timePeriod="today">
      <formula>FLOOR(E308,1)=TODAY()</formula>
    </cfRule>
  </conditionalFormatting>
  <conditionalFormatting sqref="E311">
    <cfRule type="timePeriod" dxfId="420" priority="133" timePeriod="today">
      <formula>FLOOR(E311,1)=TODAY()</formula>
    </cfRule>
  </conditionalFormatting>
  <conditionalFormatting sqref="E312:E313">
    <cfRule type="timePeriod" dxfId="419" priority="121" timePeriod="today">
      <formula>FLOOR(E312,1)=TODAY()</formula>
    </cfRule>
  </conditionalFormatting>
  <conditionalFormatting sqref="E314:E315">
    <cfRule type="expression" dxfId="418" priority="111">
      <formula>OR($E314="VACACIONES",$E314="ENFERMEDAD")</formula>
    </cfRule>
    <cfRule type="timePeriod" dxfId="417" priority="112" timePeriod="today">
      <formula>FLOOR(E314,1)=TODAY()</formula>
    </cfRule>
  </conditionalFormatting>
  <conditionalFormatting sqref="E316:E317 E319:F320 E326:F327 E27:E31">
    <cfRule type="expression" dxfId="416" priority="469">
      <formula>OR(WEEKDAY(B27,1)=7,WEEKDAY(B27,1)=1)</formula>
    </cfRule>
  </conditionalFormatting>
  <conditionalFormatting sqref="E318">
    <cfRule type="timePeriod" dxfId="415" priority="102" timePeriod="today">
      <formula>FLOOR(E318,1)=TODAY()</formula>
    </cfRule>
  </conditionalFormatting>
  <conditionalFormatting sqref="E321:E324">
    <cfRule type="timePeriod" dxfId="414" priority="98" timePeriod="today">
      <formula>FLOOR(E321,1)=TODAY()</formula>
    </cfRule>
  </conditionalFormatting>
  <conditionalFormatting sqref="E325">
    <cfRule type="timePeriod" dxfId="413" priority="95" timePeriod="today">
      <formula>FLOOR(E325,1)=TODAY()</formula>
    </cfRule>
  </conditionalFormatting>
  <conditionalFormatting sqref="E328">
    <cfRule type="timePeriod" dxfId="412" priority="89" timePeriod="today">
      <formula>FLOOR(E328,1)=TODAY()</formula>
    </cfRule>
  </conditionalFormatting>
  <conditionalFormatting sqref="E332:E337 E339:E374">
    <cfRule type="timePeriod" dxfId="411" priority="85" timePeriod="today">
      <formula>FLOOR(E332,1)=TODAY()</formula>
    </cfRule>
  </conditionalFormatting>
  <conditionalFormatting sqref="E338">
    <cfRule type="timePeriod" dxfId="410" priority="79" timePeriod="today">
      <formula>FLOOR(E338,1)=TODAY()</formula>
    </cfRule>
  </conditionalFormatting>
  <conditionalFormatting sqref="E333:H334 E336:H337 E339:H339 E342:H342 E344:H345 E347:H347 F350:H363 F365:H367 E350:E374 F369:H374 E376:H400 E401 E402:H420 E422:H441 E443:H448 E450:H481 E483:H500 E506:H507">
    <cfRule type="expression" dxfId="409" priority="81">
      <formula>OR($G333="48VACACI",$G333="49ENFERM")</formula>
    </cfRule>
  </conditionalFormatting>
  <conditionalFormatting sqref="E364 G364:H364">
    <cfRule type="expression" dxfId="408" priority="62">
      <formula>OR($E364="VACACIONES",$E364="ENFERMEDAD")</formula>
    </cfRule>
  </conditionalFormatting>
  <conditionalFormatting sqref="E364">
    <cfRule type="expression" dxfId="407" priority="61">
      <formula>OR(WEEKDAY(B364,1)=7,WEEKDAY(B364,1)=1)</formula>
    </cfRule>
    <cfRule type="timePeriod" dxfId="406" priority="64" timePeriod="today">
      <formula>FLOOR(E364,1)=TODAY()</formula>
    </cfRule>
  </conditionalFormatting>
  <conditionalFormatting sqref="E368 G368:H368">
    <cfRule type="expression" dxfId="405" priority="57">
      <formula>OR($E368="VACACIONES",$E368="ENFERMEDAD")</formula>
    </cfRule>
  </conditionalFormatting>
  <conditionalFormatting sqref="E368">
    <cfRule type="expression" dxfId="404" priority="56">
      <formula>OR(WEEKDAY(B368,1)=7,WEEKDAY(B368,1)=1)</formula>
    </cfRule>
    <cfRule type="timePeriod" dxfId="403" priority="59" timePeriod="today">
      <formula>FLOOR(E368,1)=TODAY()</formula>
    </cfRule>
  </conditionalFormatting>
  <conditionalFormatting sqref="E375">
    <cfRule type="expression" dxfId="402" priority="50">
      <formula>OR(WEEKDAY(B375,1)=7,WEEKDAY(B375,1)=1)</formula>
    </cfRule>
    <cfRule type="timePeriod" dxfId="401" priority="53" timePeriod="today">
      <formula>FLOOR(E375,1)=TODAY()</formula>
    </cfRule>
  </conditionalFormatting>
  <conditionalFormatting sqref="E421">
    <cfRule type="timePeriod" dxfId="400" priority="33" timePeriod="today">
      <formula>FLOOR(E421,1)=TODAY()</formula>
    </cfRule>
  </conditionalFormatting>
  <conditionalFormatting sqref="E442">
    <cfRule type="timePeriod" dxfId="399" priority="26" timePeriod="today">
      <formula>FLOOR(E442,1)=TODAY()</formula>
    </cfRule>
  </conditionalFormatting>
  <conditionalFormatting sqref="E449">
    <cfRule type="timePeriod" dxfId="398" priority="29" timePeriod="today">
      <formula>FLOOR(E449,1)=TODAY()</formula>
    </cfRule>
  </conditionalFormatting>
  <conditionalFormatting sqref="E482">
    <cfRule type="timePeriod" dxfId="397" priority="22" timePeriod="today">
      <formula>FLOOR(E482,1)=TODAY()</formula>
    </cfRule>
  </conditionalFormatting>
  <conditionalFormatting sqref="E501:E502">
    <cfRule type="expression" dxfId="396" priority="13">
      <formula>OR($E501="VACACIONES",$E501="ENFERMEDAD")</formula>
    </cfRule>
    <cfRule type="timePeriod" dxfId="395" priority="14" timePeriod="today">
      <formula>FLOOR(E501,1)=TODAY()</formula>
    </cfRule>
  </conditionalFormatting>
  <conditionalFormatting sqref="E503:E504">
    <cfRule type="timePeriod" dxfId="394" priority="18" timePeriod="today">
      <formula>FLOOR(E503,1)=TODAY()</formula>
    </cfRule>
  </conditionalFormatting>
  <conditionalFormatting sqref="E505">
    <cfRule type="expression" dxfId="392" priority="7">
      <formula>OR($E505="VACACIONES",$E505="ENFERMEDAD")</formula>
    </cfRule>
    <cfRule type="timePeriod" dxfId="393" priority="8" timePeriod="today">
      <formula>FLOOR(E505,1)=TODAY()</formula>
    </cfRule>
  </conditionalFormatting>
  <conditionalFormatting sqref="E508:E509">
    <cfRule type="expression" dxfId="390" priority="2">
      <formula>OR($E508="VACACIONES",$E508="ENFERMEDAD")</formula>
    </cfRule>
    <cfRule type="timePeriod" dxfId="391" priority="3" timePeriod="today">
      <formula>FLOOR(E508,1)=TODAY()</formula>
    </cfRule>
  </conditionalFormatting>
  <conditionalFormatting sqref="E510">
    <cfRule type="timePeriod" dxfId="389" priority="16" timePeriod="today">
      <formula>FLOOR(E510,1)=TODAY()</formula>
    </cfRule>
  </conditionalFormatting>
  <conditionalFormatting sqref="E4:F13">
    <cfRule type="expression" dxfId="388" priority="303">
      <formula>OR(WEEKDAY(B4,1)=7,WEEKDAY(B4,1)=1)</formula>
    </cfRule>
  </conditionalFormatting>
  <conditionalFormatting sqref="E14:F16">
    <cfRule type="expression" dxfId="387" priority="490">
      <formula>OR(WEEKDAY(B14,1)=7,WEEKDAY(B14,1)=1)</formula>
    </cfRule>
  </conditionalFormatting>
  <conditionalFormatting sqref="E19:F19">
    <cfRule type="expression" dxfId="386" priority="480">
      <formula>OR(WEEKDAY(B19,1)=7,WEEKDAY(B19,1)=1)</formula>
    </cfRule>
  </conditionalFormatting>
  <conditionalFormatting sqref="E23:F23">
    <cfRule type="expression" dxfId="385" priority="530">
      <formula>OR(WEEKDAY(B23,1)=7,WEEKDAY(B23,1)=1)</formula>
    </cfRule>
  </conditionalFormatting>
  <conditionalFormatting sqref="E24:F24">
    <cfRule type="expression" dxfId="384" priority="527">
      <formula>OR(WEEKDAY(B24,1)=7,WEEKDAY(B24,1)=1)</formula>
    </cfRule>
  </conditionalFormatting>
  <conditionalFormatting sqref="E25:F26">
    <cfRule type="expression" dxfId="383" priority="475">
      <formula>OR(WEEKDAY(B25,1)=7,WEEKDAY(B25,1)=1)</formula>
    </cfRule>
  </conditionalFormatting>
  <conditionalFormatting sqref="E32:F32">
    <cfRule type="expression" dxfId="382" priority="466">
      <formula>OR(WEEKDAY(B32,1)=7,WEEKDAY(B32,1)=1)</formula>
    </cfRule>
  </conditionalFormatting>
  <conditionalFormatting sqref="E36:F36">
    <cfRule type="expression" dxfId="381" priority="450">
      <formula>OR(WEEKDAY(B36,1)=7,WEEKDAY(B36,1)=1)</formula>
    </cfRule>
  </conditionalFormatting>
  <conditionalFormatting sqref="E37:F38">
    <cfRule type="expression" dxfId="380" priority="521">
      <formula>OR(WEEKDAY(B37,1)=7,WEEKDAY(B37,1)=1)</formula>
    </cfRule>
  </conditionalFormatting>
  <conditionalFormatting sqref="E39:F41">
    <cfRule type="expression" dxfId="379" priority="440">
      <formula>OR(WEEKDAY(B39,1)=7,WEEKDAY(B39,1)=1)</formula>
    </cfRule>
  </conditionalFormatting>
  <conditionalFormatting sqref="E44:F45">
    <cfRule type="expression" dxfId="378" priority="436">
      <formula>OR(WEEKDAY(B44,1)=7,WEEKDAY(B44,1)=1)</formula>
    </cfRule>
  </conditionalFormatting>
  <conditionalFormatting sqref="E49:F50">
    <cfRule type="expression" dxfId="377" priority="431">
      <formula>OR(WEEKDAY(B49,1)=7,WEEKDAY(B49,1)=1)</formula>
    </cfRule>
  </conditionalFormatting>
  <conditionalFormatting sqref="E51:F52">
    <cfRule type="expression" dxfId="376" priority="519">
      <formula>OR(WEEKDAY(B51,1)=7,WEEKDAY(B51,1)=1)</formula>
    </cfRule>
  </conditionalFormatting>
  <conditionalFormatting sqref="E53:F53">
    <cfRule type="expression" dxfId="375" priority="427">
      <formula>OR(WEEKDAY(B53,1)=7,WEEKDAY(B53,1)=1)</formula>
    </cfRule>
  </conditionalFormatting>
  <conditionalFormatting sqref="E61:F62">
    <cfRule type="expression" dxfId="374" priority="419">
      <formula>OR(WEEKDAY(B61,1)=7,WEEKDAY(B61,1)=1)</formula>
    </cfRule>
  </conditionalFormatting>
  <conditionalFormatting sqref="E63:F63">
    <cfRule type="expression" dxfId="373" priority="514">
      <formula>OR(WEEKDAY(B63,1)=7,WEEKDAY(B63,1)=1)</formula>
    </cfRule>
  </conditionalFormatting>
  <conditionalFormatting sqref="E64:F64">
    <cfRule type="expression" dxfId="372" priority="509">
      <formula>OR(WEEKDAY(B64,1)=7,WEEKDAY(B64,1)=1)</formula>
    </cfRule>
  </conditionalFormatting>
  <conditionalFormatting sqref="E65:F65">
    <cfRule type="expression" dxfId="371" priority="413">
      <formula>OR(WEEKDAY(B65,1)=7,WEEKDAY(B65,1)=1)</formula>
    </cfRule>
  </conditionalFormatting>
  <conditionalFormatting sqref="E69:F70">
    <cfRule type="expression" dxfId="370" priority="402">
      <formula>OR(WEEKDAY(B69,1)=7,WEEKDAY(B69,1)=1)</formula>
    </cfRule>
  </conditionalFormatting>
  <conditionalFormatting sqref="E76:F77">
    <cfRule type="expression" dxfId="369" priority="507">
      <formula>OR(WEEKDAY(B76,1)=7,WEEKDAY(B76,1)=1)</formula>
    </cfRule>
  </conditionalFormatting>
  <conditionalFormatting sqref="E78:F79">
    <cfRule type="expression" dxfId="368" priority="381">
      <formula>OR(WEEKDAY(B78,1)=7,WEEKDAY(B78,1)=1)</formula>
    </cfRule>
  </conditionalFormatting>
  <conditionalFormatting sqref="E81:F83">
    <cfRule type="expression" dxfId="367" priority="377">
      <formula>OR(WEEKDAY(B81,1)=7,WEEKDAY(B81,1)=1)</formula>
    </cfRule>
  </conditionalFormatting>
  <conditionalFormatting sqref="E87:F89">
    <cfRule type="expression" dxfId="366" priority="373">
      <formula>OR(WEEKDAY(B87,1)=7,WEEKDAY(B87,1)=1)</formula>
    </cfRule>
  </conditionalFormatting>
  <conditionalFormatting sqref="E90:F91">
    <cfRule type="expression" dxfId="365" priority="503">
      <formula>OR(WEEKDAY(B90,1)=7,WEEKDAY(B90,1)=1)</formula>
    </cfRule>
  </conditionalFormatting>
  <conditionalFormatting sqref="E92:F92">
    <cfRule type="expression" dxfId="364" priority="367">
      <formula>OR(WEEKDAY(B92,1)=7,WEEKDAY(B92,1)=1)</formula>
    </cfRule>
  </conditionalFormatting>
  <conditionalFormatting sqref="E95:F95">
    <cfRule type="expression" dxfId="363" priority="357">
      <formula>OR(WEEKDAY(B95,1)=7,WEEKDAY(B95,1)=1)</formula>
    </cfRule>
  </conditionalFormatting>
  <conditionalFormatting sqref="E105:F106">
    <cfRule type="expression" dxfId="362" priority="501">
      <formula>OR(WEEKDAY(B105,1)=7,WEEKDAY(B105,1)=1)</formula>
    </cfRule>
  </conditionalFormatting>
  <conditionalFormatting sqref="E107:F110">
    <cfRule type="expression" dxfId="361" priority="326">
      <formula>OR(WEEKDAY(B107,1)=7,WEEKDAY(B107,1)=1)</formula>
    </cfRule>
  </conditionalFormatting>
  <conditionalFormatting sqref="E114:F124">
    <cfRule type="expression" dxfId="360" priority="320">
      <formula>OR(WEEKDAY(B114,1)=7,WEEKDAY(B114,1)=1)</formula>
    </cfRule>
  </conditionalFormatting>
  <conditionalFormatting sqref="E126:F136">
    <cfRule type="expression" dxfId="359" priority="318">
      <formula>OR(WEEKDAY(B126,1)=7,WEEKDAY(B126,1)=1)</formula>
    </cfRule>
  </conditionalFormatting>
  <conditionalFormatting sqref="E137:F137">
    <cfRule type="expression" dxfId="358" priority="298">
      <formula>OR(WEEKDAY(B137,1)=7,WEEKDAY(B137,1)=1)</formula>
    </cfRule>
  </conditionalFormatting>
  <conditionalFormatting sqref="E138:F138">
    <cfRule type="expression" dxfId="357" priority="296">
      <formula>OR(WEEKDAY(B138,1)=7,WEEKDAY(B138,1)=1)</formula>
    </cfRule>
  </conditionalFormatting>
  <conditionalFormatting sqref="E139:F139">
    <cfRule type="expression" dxfId="356" priority="315">
      <formula>OR(WEEKDAY(B139,1)=7,WEEKDAY(B139,1)=1)</formula>
    </cfRule>
  </conditionalFormatting>
  <conditionalFormatting sqref="E140:F145">
    <cfRule type="expression" dxfId="355" priority="291">
      <formula>OR(WEEKDAY(B140,1)=7,WEEKDAY(B140,1)=1)</formula>
    </cfRule>
  </conditionalFormatting>
  <conditionalFormatting sqref="E146:F146">
    <cfRule type="expression" dxfId="354" priority="281">
      <formula>OR(WEEKDAY(B146,1)=7,WEEKDAY(B146,1)=1)</formula>
    </cfRule>
  </conditionalFormatting>
  <conditionalFormatting sqref="E148:F148 E152:F153 E156:F157 E160:F160 E161 E167:F169 E172:F173 E185:F186 E189:F189 E193:F193 E195:F196 E200:F200 E201 E205:F206 E208:F208 E210:F210 E213:F213 E216:F217 E220:F220 E222:F222 E225:F226 E234:F235 E241:F242 E248:F249 E256:F257 E263:F264 E268:F268 E270:F271 E278:F279 E284:E285 E286:F287 E293:F294 E300:F301 E303:F305 E307:F307 E309:F310">
    <cfRule type="expression" dxfId="353" priority="294">
      <formula>OR(WEEKDAY(B148,1)=7,WEEKDAY(B148,1)=1)</formula>
    </cfRule>
  </conditionalFormatting>
  <conditionalFormatting sqref="E149:F151">
    <cfRule type="expression" dxfId="352" priority="278">
      <formula>OR(WEEKDAY(B149,1)=7,WEEKDAY(B149,1)=1)</formula>
    </cfRule>
  </conditionalFormatting>
  <conditionalFormatting sqref="E154:F155">
    <cfRule type="expression" dxfId="351" priority="275">
      <formula>OR(WEEKDAY(B154,1)=7,WEEKDAY(B154,1)=1)</formula>
    </cfRule>
  </conditionalFormatting>
  <conditionalFormatting sqref="E158:F159">
    <cfRule type="expression" dxfId="350" priority="267">
      <formula>OR(WEEKDAY(B158,1)=7,WEEKDAY(B158,1)=1)</formula>
    </cfRule>
  </conditionalFormatting>
  <conditionalFormatting sqref="E162:F166">
    <cfRule type="expression" dxfId="349" priority="264">
      <formula>OR(WEEKDAY(B162,1)=7,WEEKDAY(B162,1)=1)</formula>
    </cfRule>
  </conditionalFormatting>
  <conditionalFormatting sqref="E170:F171">
    <cfRule type="expression" dxfId="348" priority="261">
      <formula>OR(WEEKDAY(B170,1)=7,WEEKDAY(B170,1)=1)</formula>
    </cfRule>
  </conditionalFormatting>
  <conditionalFormatting sqref="E174:F176">
    <cfRule type="expression" dxfId="347" priority="258">
      <formula>OR(WEEKDAY(B174,1)=7,WEEKDAY(B174,1)=1)</formula>
    </cfRule>
  </conditionalFormatting>
  <conditionalFormatting sqref="E177:F179 E20:E22">
    <cfRule type="expression" dxfId="346" priority="300">
      <formula>OR(WEEKDAY(B20,1)=7,WEEKDAY(B20,1)=1)</formula>
    </cfRule>
  </conditionalFormatting>
  <conditionalFormatting sqref="E180:F184">
    <cfRule type="expression" dxfId="345" priority="256">
      <formula>OR(WEEKDAY(B180,1)=7,WEEKDAY(B180,1)=1)</formula>
    </cfRule>
  </conditionalFormatting>
  <conditionalFormatting sqref="E187:F188">
    <cfRule type="expression" dxfId="344" priority="248">
      <formula>OR(WEEKDAY(B187,1)=7,WEEKDAY(B187,1)=1)</formula>
    </cfRule>
  </conditionalFormatting>
  <conditionalFormatting sqref="E190:F192">
    <cfRule type="expression" dxfId="343" priority="244">
      <formula>OR(WEEKDAY(B190,1)=7,WEEKDAY(B190,1)=1)</formula>
    </cfRule>
  </conditionalFormatting>
  <conditionalFormatting sqref="E194:F194">
    <cfRule type="expression" dxfId="342" priority="240">
      <formula>OR(WEEKDAY(B194,1)=7,WEEKDAY(B194,1)=1)</formula>
    </cfRule>
  </conditionalFormatting>
  <conditionalFormatting sqref="E197:F201">
    <cfRule type="expression" dxfId="341" priority="236">
      <formula>OR(WEEKDAY(B197,1)=7,WEEKDAY(B197,1)=1)</formula>
    </cfRule>
  </conditionalFormatting>
  <conditionalFormatting sqref="E207:F207">
    <cfRule type="expression" dxfId="340" priority="221">
      <formula>OR(WEEKDAY(B207,1)=7,WEEKDAY(B207,1)=1)</formula>
    </cfRule>
  </conditionalFormatting>
  <conditionalFormatting sqref="E209:F209">
    <cfRule type="expression" dxfId="339" priority="225">
      <formula>OR(WEEKDAY(B209,1)=7,WEEKDAY(B209,1)=1)</formula>
    </cfRule>
  </conditionalFormatting>
  <conditionalFormatting sqref="E211:F212">
    <cfRule type="expression" dxfId="338" priority="217">
      <formula>OR(WEEKDAY(B211,1)=7,WEEKDAY(B211,1)=1)</formula>
    </cfRule>
  </conditionalFormatting>
  <conditionalFormatting sqref="E214:F215">
    <cfRule type="expression" dxfId="337" priority="213">
      <formula>OR(WEEKDAY(B214,1)=7,WEEKDAY(B214,1)=1)</formula>
    </cfRule>
  </conditionalFormatting>
  <conditionalFormatting sqref="E218:F219">
    <cfRule type="expression" dxfId="336" priority="205">
      <formula>OR(WEEKDAY(B218,1)=7,WEEKDAY(B218,1)=1)</formula>
    </cfRule>
  </conditionalFormatting>
  <conditionalFormatting sqref="E221:F221">
    <cfRule type="expression" dxfId="335" priority="209">
      <formula>OR(WEEKDAY(B221,1)=7,WEEKDAY(B221,1)=1)</formula>
    </cfRule>
  </conditionalFormatting>
  <conditionalFormatting sqref="E223:F224">
    <cfRule type="expression" dxfId="334" priority="201">
      <formula>OR(WEEKDAY(B223,1)=7,WEEKDAY(B223,1)=1)</formula>
    </cfRule>
  </conditionalFormatting>
  <conditionalFormatting sqref="E227:F233">
    <cfRule type="expression" dxfId="333" priority="191">
      <formula>OR(WEEKDAY(B227,1)=7,WEEKDAY(B227,1)=1)</formula>
    </cfRule>
  </conditionalFormatting>
  <conditionalFormatting sqref="E236:F240">
    <cfRule type="expression" dxfId="332" priority="183">
      <formula>OR(WEEKDAY(B236,1)=7,WEEKDAY(B236,1)=1)</formula>
    </cfRule>
  </conditionalFormatting>
  <conditionalFormatting sqref="E243:F247">
    <cfRule type="expression" dxfId="331" priority="179">
      <formula>OR(WEEKDAY(B243,1)=7,WEEKDAY(B243,1)=1)</formula>
    </cfRule>
  </conditionalFormatting>
  <conditionalFormatting sqref="E250:F255">
    <cfRule type="expression" dxfId="330" priority="175">
      <formula>OR(WEEKDAY(B250,1)=7,WEEKDAY(B250,1)=1)</formula>
    </cfRule>
  </conditionalFormatting>
  <conditionalFormatting sqref="E258:F262">
    <cfRule type="expression" dxfId="329" priority="171">
      <formula>OR(WEEKDAY(B258,1)=7,WEEKDAY(B258,1)=1)</formula>
    </cfRule>
  </conditionalFormatting>
  <conditionalFormatting sqref="E265:F267">
    <cfRule type="expression" dxfId="328" priority="167">
      <formula>OR(WEEKDAY(B265,1)=7,WEEKDAY(B265,1)=1)</formula>
    </cfRule>
  </conditionalFormatting>
  <conditionalFormatting sqref="E269:F269">
    <cfRule type="expression" dxfId="327" priority="163">
      <formula>OR(WEEKDAY(B269,1)=7,WEEKDAY(B269,1)=1)</formula>
    </cfRule>
  </conditionalFormatting>
  <conditionalFormatting sqref="E272:F277">
    <cfRule type="expression" dxfId="326" priority="159">
      <formula>OR(WEEKDAY(B272,1)=7,WEEKDAY(B272,1)=1)</formula>
    </cfRule>
  </conditionalFormatting>
  <conditionalFormatting sqref="E280:F283">
    <cfRule type="expression" dxfId="325" priority="155">
      <formula>OR(WEEKDAY(B280,1)=7,WEEKDAY(B280,1)=1)</formula>
    </cfRule>
  </conditionalFormatting>
  <conditionalFormatting sqref="E288:F292">
    <cfRule type="expression" dxfId="324" priority="143">
      <formula>OR(WEEKDAY(B288,1)=7,WEEKDAY(B288,1)=1)</formula>
    </cfRule>
  </conditionalFormatting>
  <conditionalFormatting sqref="E295:F299">
    <cfRule type="expression" dxfId="323" priority="138">
      <formula>OR(WEEKDAY(B295,1)=7,WEEKDAY(B295,1)=1)</formula>
    </cfRule>
  </conditionalFormatting>
  <conditionalFormatting sqref="E302:F302">
    <cfRule type="expression" dxfId="322" priority="134">
      <formula>OR(WEEKDAY(B302,1)=7,WEEKDAY(B302,1)=1)</formula>
    </cfRule>
  </conditionalFormatting>
  <conditionalFormatting sqref="E306:F306">
    <cfRule type="expression" dxfId="321" priority="127">
      <formula>OR(WEEKDAY(B306,1)=7,WEEKDAY(B306,1)=1)</formula>
    </cfRule>
  </conditionalFormatting>
  <conditionalFormatting sqref="E308:F308">
    <cfRule type="expression" dxfId="320" priority="123">
      <formula>OR(WEEKDAY(B308,1)=7,WEEKDAY(B308,1)=1)</formula>
    </cfRule>
  </conditionalFormatting>
  <conditionalFormatting sqref="E311:F312">
    <cfRule type="expression" dxfId="319" priority="120">
      <formula>OR(WEEKDAY(B311,1)=7,WEEKDAY(B311,1)=1)</formula>
    </cfRule>
  </conditionalFormatting>
  <conditionalFormatting sqref="E313:F313">
    <cfRule type="expression" dxfId="318" priority="117">
      <formula>OR(WEEKDAY(B313,1)=7,WEEKDAY(B313,1)=1)</formula>
    </cfRule>
  </conditionalFormatting>
  <conditionalFormatting sqref="E314:F315">
    <cfRule type="expression" dxfId="317" priority="110">
      <formula>OR(WEEKDAY(B314,1)=7,WEEKDAY(B314,1)=1)</formula>
    </cfRule>
  </conditionalFormatting>
  <conditionalFormatting sqref="E318:F318">
    <cfRule type="expression" dxfId="316" priority="100">
      <formula>OR(WEEKDAY(B318,1)=7,WEEKDAY(B318,1)=1)</formula>
    </cfRule>
  </conditionalFormatting>
  <conditionalFormatting sqref="E321:F325">
    <cfRule type="expression" dxfId="315" priority="93">
      <formula>OR(WEEKDAY(B321,1)=7,WEEKDAY(B321,1)=1)</formula>
    </cfRule>
  </conditionalFormatting>
  <conditionalFormatting sqref="E328:F328">
    <cfRule type="expression" dxfId="314" priority="87">
      <formula>OR(WEEKDAY(B328,1)=7,WEEKDAY(B328,1)=1)</formula>
    </cfRule>
  </conditionalFormatting>
  <conditionalFormatting sqref="E332:F337 E339:F363 F365:H365 F366:F367 E364:E374 F369:F374 E376:F400 E401 E402:F420 E422:F441 E443:F448 E450:F481 E483:F500 E506:F507">
    <cfRule type="expression" dxfId="313" priority="46">
      <formula>OR(WEEKDAY(B332,1)=5,WEEKDAY(B332,1)=5)</formula>
    </cfRule>
    <cfRule type="expression" dxfId="312" priority="83">
      <formula>OR(WEEKDAY(B332,1)=7,WEEKDAY(B332,1)=1)</formula>
    </cfRule>
  </conditionalFormatting>
  <conditionalFormatting sqref="E338:F338">
    <cfRule type="expression" dxfId="311" priority="77">
      <formula>OR(WEEKDAY(B338,1)=7,WEEKDAY(B338,1)=1)</formula>
    </cfRule>
  </conditionalFormatting>
  <conditionalFormatting sqref="E421:F421">
    <cfRule type="expression" dxfId="310" priority="32">
      <formula>OR(WEEKDAY(B421,1)=7,WEEKDAY(B421,1)=1)</formula>
    </cfRule>
  </conditionalFormatting>
  <conditionalFormatting sqref="E442:F442">
    <cfRule type="expression" dxfId="309" priority="24">
      <formula>OR(WEEKDAY(B442,1)=7,WEEKDAY(B442,1)=1)</formula>
    </cfRule>
  </conditionalFormatting>
  <conditionalFormatting sqref="E449:F449">
    <cfRule type="expression" dxfId="308" priority="28">
      <formula>OR(WEEKDAY(B449,1)=7,WEEKDAY(B449,1)=1)</formula>
    </cfRule>
  </conditionalFormatting>
  <conditionalFormatting sqref="E482:F482">
    <cfRule type="expression" dxfId="307" priority="20">
      <formula>OR(WEEKDAY(B482,1)=7,WEEKDAY(B482,1)=1)</formula>
    </cfRule>
  </conditionalFormatting>
  <conditionalFormatting sqref="E501:F505">
    <cfRule type="expression" dxfId="306" priority="6">
      <formula>OR(WEEKDAY(B501,1)=7,WEEKDAY(B501,1)=1)</formula>
    </cfRule>
  </conditionalFormatting>
  <conditionalFormatting sqref="E508:F510">
    <cfRule type="expression" dxfId="305" priority="1">
      <formula>OR(WEEKDAY(B508,1)=7,WEEKDAY(B508,1)=1)</formula>
    </cfRule>
  </conditionalFormatting>
  <conditionalFormatting sqref="E197:G197 E198:H201">
    <cfRule type="expression" dxfId="304" priority="237">
      <formula>OR($E197="VACACIONES",$E197="ENFERMEDAD")</formula>
    </cfRule>
  </conditionalFormatting>
  <conditionalFormatting sqref="E231:G231 E232:H232">
    <cfRule type="expression" dxfId="303" priority="192">
      <formula>OR($E231="VACACIONES",$E231="ENFERMEDAD")</formula>
    </cfRule>
  </conditionalFormatting>
  <conditionalFormatting sqref="E233:G233">
    <cfRule type="expression" dxfId="302" priority="198">
      <formula>OR($E233="VACACIONES",$E233="ENFERMEDAD")</formula>
    </cfRule>
  </conditionalFormatting>
  <conditionalFormatting sqref="E313:G313 E329:H331">
    <cfRule type="expression" dxfId="301" priority="116">
      <formula>OR($G313="48VACACI",$G313="49ENFERM")</formula>
    </cfRule>
  </conditionalFormatting>
  <conditionalFormatting sqref="E7:H9">
    <cfRule type="expression" dxfId="300" priority="495">
      <formula>OR($E7="VACACIONES",$E7="ENFERMEDAD")</formula>
    </cfRule>
  </conditionalFormatting>
  <conditionalFormatting sqref="E14:H16">
    <cfRule type="expression" dxfId="299" priority="491">
      <formula>OR($E14="VACACIONES",$E14="ENFERMEDAD")</formula>
    </cfRule>
  </conditionalFormatting>
  <conditionalFormatting sqref="E17:H18">
    <cfRule type="expression" dxfId="298" priority="534">
      <formula>OR($E17="VACACIONES",$E17="ENFERMEDAD")</formula>
    </cfRule>
  </conditionalFormatting>
  <conditionalFormatting sqref="E19:H21">
    <cfRule type="expression" dxfId="297" priority="481">
      <formula>OR($E19="VACACIONES",$E19="ENFERMEDAD")</formula>
    </cfRule>
  </conditionalFormatting>
  <conditionalFormatting sqref="E23:H23">
    <cfRule type="expression" dxfId="296" priority="531">
      <formula>OR($E23="VACACIONES",$E23="ENFERMEDAD")</formula>
    </cfRule>
  </conditionalFormatting>
  <conditionalFormatting sqref="E24:H24">
    <cfRule type="expression" dxfId="295" priority="528">
      <formula>OR($E24="VACACIONES",$E24="ENFERMEDAD")</formula>
    </cfRule>
  </conditionalFormatting>
  <conditionalFormatting sqref="E25:H26">
    <cfRule type="expression" dxfId="294" priority="476">
      <formula>OR($E25="VACACIONES",$E25="ENFERMEDAD")</formula>
    </cfRule>
  </conditionalFormatting>
  <conditionalFormatting sqref="E27:H31">
    <cfRule type="expression" dxfId="293" priority="470">
      <formula>OR($E27="VACACIONES",$E27="ENFERMEDAD")</formula>
    </cfRule>
  </conditionalFormatting>
  <conditionalFormatting sqref="E32:H32">
    <cfRule type="expression" dxfId="292" priority="467">
      <formula>OR($E32="VACACIONES",$E32="ENFERMEDAD")</formula>
    </cfRule>
  </conditionalFormatting>
  <conditionalFormatting sqref="E34:H34">
    <cfRule type="expression" dxfId="291" priority="483">
      <formula>OR($E34="VACACIONES",$E34="ENFERMEDAD")</formula>
    </cfRule>
  </conditionalFormatting>
  <conditionalFormatting sqref="E36:H36">
    <cfRule type="expression" dxfId="290" priority="451">
      <formula>OR($E36="VACACIONES",$E36="ENFERMEDAD")</formula>
    </cfRule>
  </conditionalFormatting>
  <conditionalFormatting sqref="E37:H38">
    <cfRule type="expression" dxfId="289" priority="522">
      <formula>OR($E37="VACACIONES",$E37="ENFERMEDAD")</formula>
    </cfRule>
  </conditionalFormatting>
  <conditionalFormatting sqref="E39:H41">
    <cfRule type="expression" dxfId="288" priority="441">
      <formula>OR($E39="VACACIONES",$E39="ENFERMEDAD")</formula>
    </cfRule>
  </conditionalFormatting>
  <conditionalFormatting sqref="E42:H43">
    <cfRule type="expression" dxfId="287" priority="447">
      <formula>OR($E42="VACACIONES",$E42="ENFERMEDAD")</formula>
    </cfRule>
  </conditionalFormatting>
  <conditionalFormatting sqref="E44:H45">
    <cfRule type="expression" dxfId="286" priority="437">
      <formula>OR($E44="VACACIONES",$E44="ENFERMEDAD")</formula>
    </cfRule>
  </conditionalFormatting>
  <conditionalFormatting sqref="E49:H50">
    <cfRule type="expression" dxfId="285" priority="432">
      <formula>OR($E49="VACACIONES",$E49="ENFERMEDAD")</formula>
    </cfRule>
  </conditionalFormatting>
  <conditionalFormatting sqref="E51:H52">
    <cfRule type="expression" dxfId="284" priority="520">
      <formula>OR($E51="VACACIONES",$E51="ENFERMEDAD")</formula>
    </cfRule>
  </conditionalFormatting>
  <conditionalFormatting sqref="E53:H53">
    <cfRule type="expression" dxfId="283" priority="428">
      <formula>OR($E53="VACACIONES",$E53="ENFERMEDAD")</formula>
    </cfRule>
  </conditionalFormatting>
  <conditionalFormatting sqref="E54:H55">
    <cfRule type="expression" dxfId="282" priority="494">
      <formula>OR($E54="VACACIONES",$E54="ENFERMEDAD")</formula>
    </cfRule>
  </conditionalFormatting>
  <conditionalFormatting sqref="E58:H60">
    <cfRule type="expression" dxfId="281" priority="418">
      <formula>OR($E58="VACACIONES",$E58="ENFERMEDAD")</formula>
    </cfRule>
  </conditionalFormatting>
  <conditionalFormatting sqref="E61:H62">
    <cfRule type="expression" dxfId="280" priority="420">
      <formula>OR($E61="VACACIONES",$E61="ENFERMEDAD")</formula>
    </cfRule>
  </conditionalFormatting>
  <conditionalFormatting sqref="E63:H63">
    <cfRule type="expression" dxfId="279" priority="515">
      <formula>OR($E63="VACACIONES",$E63="ENFERMEDAD")</formula>
    </cfRule>
  </conditionalFormatting>
  <conditionalFormatting sqref="E64:H64">
    <cfRule type="expression" dxfId="278" priority="510">
      <formula>OR($E64="VACACIONES",$E64="ENFERMEDAD")</formula>
    </cfRule>
  </conditionalFormatting>
  <conditionalFormatting sqref="E65:H65">
    <cfRule type="expression" dxfId="277" priority="414">
      <formula>OR($E65="VACACIONES",$E65="ENFERMEDAD")</formula>
    </cfRule>
  </conditionalFormatting>
  <conditionalFormatting sqref="E66:H66">
    <cfRule type="expression" dxfId="276" priority="411">
      <formula>OR($E66="VACACIONES",$E66="ENFERMEDAD")</formula>
    </cfRule>
  </conditionalFormatting>
  <conditionalFormatting sqref="E67:H68">
    <cfRule type="expression" dxfId="275" priority="407">
      <formula>OR($E67="VACACIONES",$E67="ENFERMEDAD")</formula>
    </cfRule>
  </conditionalFormatting>
  <conditionalFormatting sqref="E69:H70">
    <cfRule type="expression" dxfId="274" priority="403">
      <formula>OR($E69="VACACIONES",$E69="ENFERMEDAD")</formula>
    </cfRule>
  </conditionalFormatting>
  <conditionalFormatting sqref="E71:H72">
    <cfRule type="expression" dxfId="273" priority="397">
      <formula>OR($E71="VACACIONES",$E71="ENFERMEDAD")</formula>
    </cfRule>
  </conditionalFormatting>
  <conditionalFormatting sqref="E74:H75">
    <cfRule type="expression" dxfId="272" priority="392">
      <formula>OR($E74="VACACIONES",$E74="ENFERMEDAD")</formula>
    </cfRule>
  </conditionalFormatting>
  <conditionalFormatting sqref="E76:H77">
    <cfRule type="expression" dxfId="271" priority="508">
      <formula>OR($E76="VACACIONES",$E76="ENFERMEDAD")</formula>
    </cfRule>
  </conditionalFormatting>
  <conditionalFormatting sqref="E78:H79">
    <cfRule type="expression" dxfId="270" priority="382">
      <formula>OR($E78="VACACIONES",$E78="ENFERMEDAD")</formula>
    </cfRule>
  </conditionalFormatting>
  <conditionalFormatting sqref="E81:H83">
    <cfRule type="expression" dxfId="269" priority="378">
      <formula>OR($E81="VACACIONES",$E81="ENFERMEDAD")</formula>
    </cfRule>
  </conditionalFormatting>
  <conditionalFormatting sqref="E87:H89">
    <cfRule type="expression" dxfId="268" priority="374">
      <formula>OR($E87="VACACIONES",$E87="ENFERMEDAD")</formula>
    </cfRule>
  </conditionalFormatting>
  <conditionalFormatting sqref="E90:H91">
    <cfRule type="expression" dxfId="267" priority="504">
      <formula>OR($E90="VACACIONES",$E90="ENFERMEDAD")</formula>
    </cfRule>
  </conditionalFormatting>
  <conditionalFormatting sqref="E92:H92">
    <cfRule type="expression" dxfId="266" priority="368">
      <formula>OR($E92="VACACIONES",$E92="ENFERMEDAD")</formula>
    </cfRule>
  </conditionalFormatting>
  <conditionalFormatting sqref="E95:H95">
    <cfRule type="expression" dxfId="265" priority="358">
      <formula>OR($E95="VACACIONES",$E95="ENFERMEDAD")</formula>
    </cfRule>
  </conditionalFormatting>
  <conditionalFormatting sqref="E96:H97">
    <cfRule type="expression" dxfId="264" priority="349">
      <formula>OR($E96="VACACIONES",$E96="ENFERMEDAD")</formula>
    </cfRule>
  </conditionalFormatting>
  <conditionalFormatting sqref="E104:H104">
    <cfRule type="expression" dxfId="263" priority="336">
      <formula>OR($E104="VACACIONES",$E104="ENFERMEDAD")</formula>
    </cfRule>
  </conditionalFormatting>
  <conditionalFormatting sqref="E105:H106">
    <cfRule type="expression" dxfId="262" priority="502">
      <formula>OR($E105="VACACIONES",$E105="ENFERMEDAD")</formula>
    </cfRule>
  </conditionalFormatting>
  <conditionalFormatting sqref="E107:H110">
    <cfRule type="expression" dxfId="261" priority="327">
      <formula>OR($E107="VACACIONES",$E107="ENFERMEDAD")</formula>
    </cfRule>
  </conditionalFormatting>
  <conditionalFormatting sqref="E111:H111 E112">
    <cfRule type="expression" dxfId="260" priority="330">
      <formula>OR($E111="VACACIONES",$E111="ENFERMEDAD")</formula>
    </cfRule>
  </conditionalFormatting>
  <conditionalFormatting sqref="E114:H124">
    <cfRule type="expression" dxfId="259" priority="321">
      <formula>OR($E114="VACACIONES",$E114="ENFERMEDAD")</formula>
    </cfRule>
  </conditionalFormatting>
  <conditionalFormatting sqref="E126:H127">
    <cfRule type="expression" dxfId="258" priority="319">
      <formula>OR($E126="VACACIONES",$E126="ENFERMEDAD")</formula>
    </cfRule>
  </conditionalFormatting>
  <conditionalFormatting sqref="E135:H136 E144:H145 E140:E143">
    <cfRule type="expression" dxfId="257" priority="497">
      <formula>OR($E135="VACACIONES",$E135="ENFERMEDAD")</formula>
    </cfRule>
  </conditionalFormatting>
  <conditionalFormatting sqref="E137:H138 H313 E319:H320 E326:H327 E316:E317">
    <cfRule type="expression" dxfId="256" priority="297">
      <formula>OR($G137="48VACACI",$G137="49ENFERM")</formula>
    </cfRule>
  </conditionalFormatting>
  <conditionalFormatting sqref="E139:H139 E130:H134">
    <cfRule type="expression" dxfId="255" priority="316">
      <formula>OR($G130="48VACACI",$G130="49ENFERM")</formula>
    </cfRule>
  </conditionalFormatting>
  <conditionalFormatting sqref="E146:H146">
    <cfRule type="expression" dxfId="254" priority="282">
      <formula>OR($E146="VACACIONES",$E146="ENFERMEDAD")</formula>
    </cfRule>
  </conditionalFormatting>
  <conditionalFormatting sqref="E147:H147">
    <cfRule type="expression" dxfId="253" priority="285">
      <formula>OR($E147="VACACIONES",$E147="ENFERMEDAD")</formula>
    </cfRule>
  </conditionalFormatting>
  <conditionalFormatting sqref="E149:H151">
    <cfRule type="expression" dxfId="252" priority="279">
      <formula>OR($E149="VACACIONES",$E149="ENFERMEDAD")</formula>
    </cfRule>
  </conditionalFormatting>
  <conditionalFormatting sqref="E154:H155">
    <cfRule type="expression" dxfId="251" priority="276">
      <formula>OR($E154="VACACIONES",$E154="ENFERMEDAD")</formula>
    </cfRule>
  </conditionalFormatting>
  <conditionalFormatting sqref="E158:H159">
    <cfRule type="expression" dxfId="250" priority="268">
      <formula>OR($E158="VACACIONES",$E158="ENFERMEDAD")</formula>
    </cfRule>
  </conditionalFormatting>
  <conditionalFormatting sqref="E162:H166">
    <cfRule type="expression" dxfId="249" priority="265">
      <formula>OR($E162="VACACIONES",$E162="ENFERMEDAD")</formula>
    </cfRule>
  </conditionalFormatting>
  <conditionalFormatting sqref="E170:H171">
    <cfRule type="expression" dxfId="248" priority="262">
      <formula>OR($E170="VACACIONES",$E170="ENFERMEDAD")</formula>
    </cfRule>
  </conditionalFormatting>
  <conditionalFormatting sqref="E174:H176">
    <cfRule type="expression" dxfId="247" priority="259">
      <formula>OR($E174="VACACIONES",$E174="ENFERMEDAD")</formula>
    </cfRule>
  </conditionalFormatting>
  <conditionalFormatting sqref="E180:H182">
    <cfRule type="expression" dxfId="246" priority="257">
      <formula>OR($E180="VACACIONES",$E180="ENFERMEDAD")</formula>
    </cfRule>
  </conditionalFormatting>
  <conditionalFormatting sqref="E183:H184">
    <cfRule type="expression" dxfId="245" priority="271">
      <formula>OR($E183="VACACIONES",$E183="ENFERMEDAD")</formula>
    </cfRule>
  </conditionalFormatting>
  <conditionalFormatting sqref="E187:H188">
    <cfRule type="expression" dxfId="244" priority="249">
      <formula>OR($E187="VACACIONES",$E187="ENFERMEDAD")</formula>
    </cfRule>
  </conditionalFormatting>
  <conditionalFormatting sqref="E190:H192">
    <cfRule type="expression" dxfId="243" priority="245">
      <formula>OR($E190="VACACIONES",$E190="ENFERMEDAD")</formula>
    </cfRule>
  </conditionalFormatting>
  <conditionalFormatting sqref="E194:H194">
    <cfRule type="expression" dxfId="242" priority="241">
      <formula>OR($E194="VACACIONES",$E194="ENFERMEDAD")</formula>
    </cfRule>
  </conditionalFormatting>
  <conditionalFormatting sqref="E200:H200 E201 E303:H305 E307:H307 E148:H148 E152:H153 E156:H157 E160:H160 E161 E167:H169 E172:H173 E185:H186 E189:H189 E193:H193 E195:H196 E205:H206 E208:H208 E210:H210 E213:H213 E216:H217 E220:H220 E222:H222 E225:H226 E234:H235 E241:H242 E248:H249 E256:H257 E263:H264 E268:H268 E270:H271 E278:H279 E284:E285 E286:H287 E293:H294 E300:H301 E309:H310">
    <cfRule type="expression" dxfId="241" priority="293">
      <formula>OR($G148="48VACACI",$G148="49ENFERM")</formula>
    </cfRule>
  </conditionalFormatting>
  <conditionalFormatting sqref="E203:H204">
    <cfRule type="expression" dxfId="240" priority="254">
      <formula>OR($E203="VACACIONES",$E203="ENFERMEDAD")</formula>
    </cfRule>
  </conditionalFormatting>
  <conditionalFormatting sqref="E207:H207">
    <cfRule type="expression" dxfId="239" priority="222">
      <formula>OR($E207="VACACIONES",$E207="ENFERMEDAD")</formula>
    </cfRule>
  </conditionalFormatting>
  <conditionalFormatting sqref="E209:H209">
    <cfRule type="expression" dxfId="238" priority="226">
      <formula>OR($E209="VACACIONES",$E209="ENFERMEDAD")</formula>
    </cfRule>
  </conditionalFormatting>
  <conditionalFormatting sqref="E211:H212">
    <cfRule type="expression" dxfId="237" priority="218">
      <formula>OR($E211="VACACIONES",$E211="ENFERMEDAD")</formula>
    </cfRule>
  </conditionalFormatting>
  <conditionalFormatting sqref="E214:H215">
    <cfRule type="expression" dxfId="236" priority="214">
      <formula>OR($E214="VACACIONES",$E214="ENFERMEDAD")</formula>
    </cfRule>
  </conditionalFormatting>
  <conditionalFormatting sqref="E218:H219">
    <cfRule type="expression" dxfId="235" priority="206">
      <formula>OR($E218="VACACIONES",$E218="ENFERMEDAD")</formula>
    </cfRule>
  </conditionalFormatting>
  <conditionalFormatting sqref="E221:H221">
    <cfRule type="expression" dxfId="234" priority="210">
      <formula>OR($E221="VACACIONES",$E221="ENFERMEDAD")</formula>
    </cfRule>
  </conditionalFormatting>
  <conditionalFormatting sqref="E223:H223">
    <cfRule type="expression" dxfId="233" priority="252">
      <formula>OR($E223="VACACIONES",$E223="ENFERMEDAD")</formula>
    </cfRule>
  </conditionalFormatting>
  <conditionalFormatting sqref="E224:H224">
    <cfRule type="expression" dxfId="232" priority="202">
      <formula>OR($E224="VACACIONES",$E224="ENFERMEDAD")</formula>
    </cfRule>
  </conditionalFormatting>
  <conditionalFormatting sqref="E227:H230">
    <cfRule type="expression" dxfId="231" priority="195">
      <formula>OR($E227="VACACIONES",$E227="ENFERMEDAD")</formula>
    </cfRule>
  </conditionalFormatting>
  <conditionalFormatting sqref="E236:H240">
    <cfRule type="expression" dxfId="230" priority="184">
      <formula>OR($E236="VACACIONES",$E236="ENFERMEDAD")</formula>
    </cfRule>
  </conditionalFormatting>
  <conditionalFormatting sqref="E243:H247">
    <cfRule type="expression" dxfId="229" priority="180">
      <formula>OR($E243="VACACIONES",$E243="ENFERMEDAD")</formula>
    </cfRule>
  </conditionalFormatting>
  <conditionalFormatting sqref="E250:H255">
    <cfRule type="expression" dxfId="228" priority="176">
      <formula>OR($E250="VACACIONES",$E250="ENFERMEDAD")</formula>
    </cfRule>
  </conditionalFormatting>
  <conditionalFormatting sqref="E258:H262">
    <cfRule type="expression" dxfId="227" priority="172">
      <formula>OR($E258="VACACIONES",$E258="ENFERMEDAD")</formula>
    </cfRule>
  </conditionalFormatting>
  <conditionalFormatting sqref="E265:H267">
    <cfRule type="expression" dxfId="226" priority="168">
      <formula>OR($E265="VACACIONES",$E265="ENFERMEDAD")</formula>
    </cfRule>
  </conditionalFormatting>
  <conditionalFormatting sqref="E269:H269">
    <cfRule type="expression" dxfId="225" priority="164">
      <formula>OR($E269="VACACIONES",$E269="ENFERMEDAD")</formula>
    </cfRule>
  </conditionalFormatting>
  <conditionalFormatting sqref="E272:H277">
    <cfRule type="expression" dxfId="224" priority="160">
      <formula>OR($E272="VACACIONES",$E272="ENFERMEDAD")</formula>
    </cfRule>
  </conditionalFormatting>
  <conditionalFormatting sqref="E280:H283">
    <cfRule type="expression" dxfId="223" priority="156">
      <formula>OR($E280="VACACIONES",$E280="ENFERMEDAD")</formula>
    </cfRule>
  </conditionalFormatting>
  <conditionalFormatting sqref="E299:H299">
    <cfRule type="expression" dxfId="222" priority="148">
      <formula>OR($E299="VACACIONES",$E299="ENFERMEDAD")</formula>
    </cfRule>
  </conditionalFormatting>
  <conditionalFormatting sqref="E302:H302">
    <cfRule type="expression" dxfId="221" priority="135">
      <formula>OR($E302="VACACIONES",$E302="ENFERMEDAD")</formula>
    </cfRule>
  </conditionalFormatting>
  <conditionalFormatting sqref="E306:H306">
    <cfRule type="expression" dxfId="220" priority="128">
      <formula>OR($E306="VACACIONES",$E306="ENFERMEDAD")</formula>
    </cfRule>
  </conditionalFormatting>
  <conditionalFormatting sqref="E308:H308">
    <cfRule type="expression" dxfId="219" priority="124">
      <formula>OR($E308="VACACIONES",$E308="ENFERMEDAD")</formula>
    </cfRule>
  </conditionalFormatting>
  <conditionalFormatting sqref="E311:H311">
    <cfRule type="expression" dxfId="218" priority="131">
      <formula>OR($E311="VACACIONES",$E311="ENFERMEDAD")</formula>
    </cfRule>
  </conditionalFormatting>
  <conditionalFormatting sqref="E312:H312">
    <cfRule type="expression" dxfId="217" priority="119">
      <formula>OR($G312="48VACACI",$G312="49ENFERM")</formula>
    </cfRule>
  </conditionalFormatting>
  <conditionalFormatting sqref="E318:H318">
    <cfRule type="expression" dxfId="216" priority="101">
      <formula>OR($E318="VACACIONES",$E318="ENFERMEDAD")</formula>
    </cfRule>
  </conditionalFormatting>
  <conditionalFormatting sqref="E321:H321">
    <cfRule type="expression" dxfId="215" priority="97">
      <formula>OR($E321="VACACIONES",$E321="ENFERMEDAD")</formula>
    </cfRule>
  </conditionalFormatting>
  <conditionalFormatting sqref="E322:H322 E324:H324">
    <cfRule type="expression" dxfId="214" priority="92">
      <formula>OR($G322="48VACACI",$G322="49ENFERM")</formula>
    </cfRule>
  </conditionalFormatting>
  <conditionalFormatting sqref="E323:H323">
    <cfRule type="expression" dxfId="213" priority="91">
      <formula>OR($E323="VACACIONES",$E323="ENFERMEDAD")</formula>
    </cfRule>
  </conditionalFormatting>
  <conditionalFormatting sqref="E325:H325">
    <cfRule type="expression" dxfId="212" priority="94">
      <formula>OR($E325="VACACIONES",$E325="ENFERMEDAD")</formula>
    </cfRule>
  </conditionalFormatting>
  <conditionalFormatting sqref="E328:H328">
    <cfRule type="expression" dxfId="211" priority="88">
      <formula>OR($E328="VACACIONES",$E328="ENFERMEDAD")</formula>
    </cfRule>
  </conditionalFormatting>
  <conditionalFormatting sqref="E332:H332">
    <cfRule type="expression" dxfId="210" priority="84">
      <formula>OR($E332="VACACIONES",$E332="ENFERMEDAD")</formula>
    </cfRule>
  </conditionalFormatting>
  <conditionalFormatting sqref="E335:H335">
    <cfRule type="expression" dxfId="209" priority="71">
      <formula>OR($E335="VACACIONES",$E335="ENFERMEDAD")</formula>
    </cfRule>
  </conditionalFormatting>
  <conditionalFormatting sqref="E338:H338">
    <cfRule type="expression" dxfId="208" priority="78">
      <formula>OR($E338="VACACIONES",$E338="ENFERMEDAD")</formula>
    </cfRule>
  </conditionalFormatting>
  <conditionalFormatting sqref="E340:H341">
    <cfRule type="expression" dxfId="207" priority="75">
      <formula>OR($E340="VACACIONES",$E340="ENFERMEDAD")</formula>
    </cfRule>
  </conditionalFormatting>
  <conditionalFormatting sqref="E343:H343">
    <cfRule type="expression" dxfId="206" priority="73">
      <formula>OR($E343="VACACIONES",$E343="ENFERMEDAD")</formula>
    </cfRule>
  </conditionalFormatting>
  <conditionalFormatting sqref="E346:H346">
    <cfRule type="expression" dxfId="205" priority="69">
      <formula>OR($E346="VACACIONES",$E346="ENFERMEDAD")</formula>
    </cfRule>
  </conditionalFormatting>
  <conditionalFormatting sqref="E348:H349">
    <cfRule type="expression" dxfId="204" priority="67">
      <formula>OR($E348="VACACIONES",$E348="ENFERMEDAD")</formula>
    </cfRule>
  </conditionalFormatting>
  <conditionalFormatting sqref="E375:H375">
    <cfRule type="expression" dxfId="203" priority="51">
      <formula>OR($E375="VACACIONES",$E375="ENFERMEDAD")</formula>
    </cfRule>
  </conditionalFormatting>
  <conditionalFormatting sqref="E421:H421">
    <cfRule type="expression" dxfId="202" priority="31">
      <formula>OR($G421="48VACACI",$G421="49ENFERM")</formula>
    </cfRule>
  </conditionalFormatting>
  <conditionalFormatting sqref="E442:H442">
    <cfRule type="expression" dxfId="201" priority="25">
      <formula>OR($E442="VACACIONES",$E442="ENFERMEDAD")</formula>
    </cfRule>
  </conditionalFormatting>
  <conditionalFormatting sqref="E449:H449">
    <cfRule type="expression" dxfId="200" priority="27">
      <formula>OR($G449="48VACACI",$G449="49ENFERM")</formula>
    </cfRule>
  </conditionalFormatting>
  <conditionalFormatting sqref="E482:H482">
    <cfRule type="expression" dxfId="199" priority="21">
      <formula>OR($E482="VACACIONES",$E482="ENFERMEDAD")</formula>
    </cfRule>
  </conditionalFormatting>
  <conditionalFormatting sqref="E503:H504">
    <cfRule type="expression" dxfId="198" priority="17">
      <formula>OR($E503="VACACIONES",$E503="ENFERMEDAD")</formula>
    </cfRule>
  </conditionalFormatting>
  <conditionalFormatting sqref="E510:H510">
    <cfRule type="expression" dxfId="197" priority="15">
      <formula>OR($E510="VACACIONES",$E510="ENFERMEDAD")</formula>
    </cfRule>
  </conditionalFormatting>
  <conditionalFormatting sqref="F17:F18 F42:F43 F46:F48">
    <cfRule type="expression" dxfId="196" priority="543">
      <formula>OR(WEEKDAY(C16,1)=7,WEEKDAY(C16,1)=1)</formula>
    </cfRule>
  </conditionalFormatting>
  <conditionalFormatting sqref="F20:F21">
    <cfRule type="expression" dxfId="195" priority="544">
      <formula>OR(WEEKDAY(C18,1)=7,WEEKDAY(C18,1)=1)</formula>
    </cfRule>
  </conditionalFormatting>
  <conditionalFormatting sqref="F22">
    <cfRule type="expression" dxfId="194" priority="308">
      <formula>OR(WEEKDAY(C22,1)=7,WEEKDAY(C22,1)=1)</formula>
    </cfRule>
  </conditionalFormatting>
  <conditionalFormatting sqref="F27:F31">
    <cfRule type="expression" dxfId="193" priority="474">
      <formula>OR(WEEKDAY(C26,1)=7,WEEKDAY(C26,1)=1)</formula>
    </cfRule>
  </conditionalFormatting>
  <conditionalFormatting sqref="F33">
    <cfRule type="expression" dxfId="192" priority="463">
      <formula>OR(WEEKDAY(C32,1)=7,WEEKDAY(C32,1)=1)</formula>
    </cfRule>
  </conditionalFormatting>
  <conditionalFormatting sqref="F34">
    <cfRule type="expression" dxfId="191" priority="487">
      <formula>OR(WEEKDAY(C33,1)=7,WEEKDAY(C33,1)=1)</formula>
    </cfRule>
  </conditionalFormatting>
  <conditionalFormatting sqref="F35">
    <cfRule type="expression" dxfId="190" priority="456">
      <formula>OR(WEEKDAY(C34,1)=7,WEEKDAY(C34,1)=1)</formula>
    </cfRule>
  </conditionalFormatting>
  <conditionalFormatting sqref="F54:F55">
    <cfRule type="expression" dxfId="189" priority="425">
      <formula>OR(WEEKDAY(C53,1)=7,WEEKDAY(C53,1)=1)</formula>
    </cfRule>
  </conditionalFormatting>
  <conditionalFormatting sqref="F58:F60">
    <cfRule type="expression" dxfId="188" priority="546">
      <formula>OR(WEEKDAY(#REF!,1)=7,WEEKDAY(#REF!,1)=1)</formula>
    </cfRule>
  </conditionalFormatting>
  <conditionalFormatting sqref="F66">
    <cfRule type="expression" dxfId="187" priority="410">
      <formula>OR(WEEKDAY(C65,1)=7,WEEKDAY(C65,1)=1)</formula>
    </cfRule>
  </conditionalFormatting>
  <conditionalFormatting sqref="F71:F75">
    <cfRule type="expression" dxfId="186" priority="398">
      <formula>OR(WEEKDAY(#REF!,1)=7,WEEKDAY(#REF!,1)=1)</formula>
    </cfRule>
  </conditionalFormatting>
  <conditionalFormatting sqref="F97">
    <cfRule type="expression" dxfId="185" priority="350">
      <formula>OR(WEEKDAY(#REF!,1)=7,WEEKDAY(#REF!,1)=1)</formula>
    </cfRule>
  </conditionalFormatting>
  <conditionalFormatting sqref="F104">
    <cfRule type="expression" dxfId="184" priority="340">
      <formula>OR(WEEKDAY(C103,1)=7,WEEKDAY(C103,1)=1)</formula>
    </cfRule>
  </conditionalFormatting>
  <conditionalFormatting sqref="F111">
    <cfRule type="expression" dxfId="183" priority="334">
      <formula>OR(WEEKDAY(C107,1)=7,WEEKDAY(C107,1)=1)</formula>
    </cfRule>
  </conditionalFormatting>
  <conditionalFormatting sqref="F112:F113">
    <cfRule type="expression" dxfId="182" priority="323">
      <formula>OR(WEEKDAY(C112,1)=7,WEEKDAY(C112,1)=1)</formula>
    </cfRule>
  </conditionalFormatting>
  <conditionalFormatting sqref="F147">
    <cfRule type="expression" dxfId="181" priority="289">
      <formula>OR(WEEKDAY(C146,1)=7,WEEKDAY(C146,1)=1)</formula>
    </cfRule>
  </conditionalFormatting>
  <conditionalFormatting sqref="F161">
    <cfRule type="expression" dxfId="180" priority="274">
      <formula>OR(WEEKDAY(C161,1)=7,WEEKDAY(C161,1)=1)</formula>
    </cfRule>
  </conditionalFormatting>
  <conditionalFormatting sqref="F201:F202">
    <cfRule type="expression" dxfId="179" priority="230">
      <formula>OR(WEEKDAY(C201,1)=7,WEEKDAY(C201,1)=1)</formula>
    </cfRule>
  </conditionalFormatting>
  <conditionalFormatting sqref="F284:F285">
    <cfRule type="expression" dxfId="178" priority="152">
      <formula>OR(WEEKDAY(C284,1)=7,WEEKDAY(C284,1)=1)</formula>
    </cfRule>
  </conditionalFormatting>
  <conditionalFormatting sqref="F316:F317">
    <cfRule type="expression" dxfId="177" priority="106">
      <formula>OR(WEEKDAY(C316,1)=7,WEEKDAY(C316,1)=1)</formula>
    </cfRule>
  </conditionalFormatting>
  <conditionalFormatting sqref="F364">
    <cfRule type="expression" dxfId="174" priority="42">
      <formula>OR(WEEKDAY(C364,1)=5,WEEKDAY(C364,1)=5)</formula>
    </cfRule>
    <cfRule type="expression" dxfId="173" priority="43">
      <formula>OR(WEEKDAY(C364,1)=3,WEEKDAY(C364,1)=3)</formula>
    </cfRule>
    <cfRule type="expression" dxfId="175" priority="44">
      <formula>OR($G364="48VACACI",$G364="49ENFERM")</formula>
    </cfRule>
    <cfRule type="expression" dxfId="176" priority="45">
      <formula>OR(WEEKDAY(C364,1)=7,WEEKDAY(C364,1)=1)</formula>
    </cfRule>
  </conditionalFormatting>
  <conditionalFormatting sqref="F368">
    <cfRule type="expression" dxfId="172" priority="38">
      <formula>OR(WEEKDAY(C368,1)=5,WEEKDAY(C368,1)=5)</formula>
    </cfRule>
    <cfRule type="expression" dxfId="171" priority="39">
      <formula>OR(WEEKDAY(C368,1)=3,WEEKDAY(C368,1)=3)</formula>
    </cfRule>
    <cfRule type="expression" dxfId="169" priority="40">
      <formula>OR($G368="48VACACI",$G368="49ENFERM")</formula>
    </cfRule>
    <cfRule type="expression" dxfId="170" priority="41">
      <formula>OR(WEEKDAY(C368,1)=7,WEEKDAY(C368,1)=1)</formula>
    </cfRule>
  </conditionalFormatting>
  <conditionalFormatting sqref="F375">
    <cfRule type="expression" dxfId="168" priority="55">
      <formula>OR(WEEKDAY(C374,1)=7,WEEKDAY(C374,1)=1)</formula>
    </cfRule>
  </conditionalFormatting>
  <conditionalFormatting sqref="F401">
    <cfRule type="expression" dxfId="167" priority="35">
      <formula>OR(WEEKDAY(C401,1)=7,WEEKDAY(C401,1)=1)</formula>
    </cfRule>
  </conditionalFormatting>
  <conditionalFormatting sqref="F84:G85">
    <cfRule type="expression" dxfId="165" priority="384">
      <formula>OR($E83="VACACIONES",$E83="ENFERMEDAD")</formula>
    </cfRule>
    <cfRule type="expression" dxfId="166" priority="385">
      <formula>OR($E84="VACACIONES",$E84="ENFERMEDAD")</formula>
    </cfRule>
  </conditionalFormatting>
  <conditionalFormatting sqref="F84:G86">
    <cfRule type="expression" dxfId="164" priority="386">
      <formula>OR(WEEKDAY(#REF!,1)=7,WEEKDAY(#REF!,1)=1)</formula>
    </cfRule>
  </conditionalFormatting>
  <conditionalFormatting sqref="F86:G86">
    <cfRule type="expression" dxfId="163" priority="551">
      <formula>OR($E84="VACACIONES",$E84="ENFERMEDAD")</formula>
    </cfRule>
    <cfRule type="expression" dxfId="162" priority="552">
      <formula>OR($E86="VACACIONES",$E86="ENFERMEDAD")</formula>
    </cfRule>
  </conditionalFormatting>
  <conditionalFormatting sqref="F94:G94">
    <cfRule type="expression" dxfId="161" priority="343">
      <formula>OR(WEEKDAY(#REF!,1)=7,WEEKDAY(#REF!,1)=1)</formula>
    </cfRule>
    <cfRule type="expression" dxfId="160" priority="344">
      <formula>OR($E92="VACACIONES",$E92="ENFERMEDAD")</formula>
    </cfRule>
    <cfRule type="expression" dxfId="159" priority="345">
      <formula>OR($E94="VACACIONES",$E94="ENFERMEDAD")</formula>
    </cfRule>
  </conditionalFormatting>
  <conditionalFormatting sqref="F316:G316">
    <cfRule type="expression" dxfId="158" priority="99">
      <formula>OR($G316="48VACACI",$G316="49ENFERM")</formula>
    </cfRule>
  </conditionalFormatting>
  <conditionalFormatting sqref="F317:G317">
    <cfRule type="expression" dxfId="157" priority="105">
      <formula>OR($G317="48VACACI",$G317="49ENFERM")</formula>
    </cfRule>
  </conditionalFormatting>
  <conditionalFormatting sqref="F5:H6">
    <cfRule type="expression" dxfId="156" priority="313">
      <formula>OR($G5="48VACACI",$G5="49ENFERM")</formula>
    </cfRule>
  </conditionalFormatting>
  <conditionalFormatting sqref="F10:H13">
    <cfRule type="expression" dxfId="155" priority="311">
      <formula>OR($G10="48VACACI",$G10="49ENFERM")</formula>
    </cfRule>
  </conditionalFormatting>
  <conditionalFormatting sqref="F17:H18 F20:H21 F59:H60">
    <cfRule type="expression" dxfId="154" priority="542">
      <formula>OR($E16="VACACIONES",$E16="ENFERMEDAD")</formula>
    </cfRule>
  </conditionalFormatting>
  <conditionalFormatting sqref="F22:H22">
    <cfRule type="expression" dxfId="153" priority="309">
      <formula>OR($G22="48VACACI",$G22="49ENFERM")</formula>
    </cfRule>
  </conditionalFormatting>
  <conditionalFormatting sqref="F27:H31">
    <cfRule type="expression" dxfId="152" priority="473">
      <formula>OR($E26="VACACIONES",$E26="ENFERMEDAD")</formula>
    </cfRule>
  </conditionalFormatting>
  <conditionalFormatting sqref="F33:H33 F42:H43 F46:H48">
    <cfRule type="expression" dxfId="151" priority="462">
      <formula>OR($E32="VACACIONES",$E32="ENFERMEDAD")</formula>
    </cfRule>
  </conditionalFormatting>
  <conditionalFormatting sqref="F33:H33 F46:H48">
    <cfRule type="expression" dxfId="150" priority="460">
      <formula>OR($E33="VACACIONES",$E33="ENFERMEDAD")</formula>
    </cfRule>
  </conditionalFormatting>
  <conditionalFormatting sqref="F34:H34">
    <cfRule type="expression" dxfId="149" priority="486">
      <formula>OR($E33="VACACIONES",$E33="ENFERMEDAD")</formula>
    </cfRule>
  </conditionalFormatting>
  <conditionalFormatting sqref="F35:H35">
    <cfRule type="expression" dxfId="147" priority="453">
      <formula>OR($E35="VACACIONES",$E35="ENFERMEDAD")</formula>
    </cfRule>
    <cfRule type="expression" dxfId="148" priority="455">
      <formula>OR($E34="VACACIONES",$E34="ENFERMEDAD")</formula>
    </cfRule>
  </conditionalFormatting>
  <conditionalFormatting sqref="F54:H55">
    <cfRule type="expression" dxfId="146" priority="423">
      <formula>OR($E53="VACACIONES",$E53="ENFERMEDAD")</formula>
    </cfRule>
  </conditionalFormatting>
  <conditionalFormatting sqref="F58:H58">
    <cfRule type="expression" dxfId="145" priority="547">
      <formula>OR(#REF!="VACACIONES",#REF!="ENFERMEDAD")</formula>
    </cfRule>
  </conditionalFormatting>
  <conditionalFormatting sqref="F66:H68">
    <cfRule type="expression" dxfId="144" priority="405">
      <formula>OR($E65="VACACIONES",$E65="ENFERMEDAD")</formula>
    </cfRule>
  </conditionalFormatting>
  <conditionalFormatting sqref="F67:H68">
    <cfRule type="expression" dxfId="143" priority="408">
      <formula>OR(WEEKDAY(#REF!,1)=7,WEEKDAY(#REF!,1)=1)</formula>
    </cfRule>
  </conditionalFormatting>
  <conditionalFormatting sqref="F71:H75">
    <cfRule type="expression" dxfId="142" priority="391">
      <formula>OR($E70="VACACIONES",$E70="ENFERMEDAD")</formula>
    </cfRule>
  </conditionalFormatting>
  <conditionalFormatting sqref="F73:H73">
    <cfRule type="expression" dxfId="141" priority="394">
      <formula>OR($E73="VACACIONES",$E73="ENFERMEDAD")</formula>
    </cfRule>
  </conditionalFormatting>
  <conditionalFormatting sqref="F80:H80">
    <cfRule type="expression" dxfId="140" priority="387">
      <formula>OR($E79="VACACIONES",$E79="ENFERMEDAD")</formula>
    </cfRule>
    <cfRule type="expression" dxfId="139" priority="388">
      <formula>OR($E80="VACACIONES",$E80="ENFERMEDAD")</formula>
    </cfRule>
    <cfRule type="expression" dxfId="138" priority="389">
      <formula>OR(WEEKDAY(#REF!,1)=7,WEEKDAY(#REF!,1)=1)</formula>
    </cfRule>
  </conditionalFormatting>
  <conditionalFormatting sqref="F93:H93">
    <cfRule type="expression" dxfId="136" priority="360">
      <formula>OR($E92="VACACIONES",$E92="ENFERMEDAD")</formula>
    </cfRule>
    <cfRule type="expression" dxfId="135" priority="361">
      <formula>OR($E93="VACACIONES",$E93="ENFERMEDAD")</formula>
    </cfRule>
    <cfRule type="expression" dxfId="137" priority="362">
      <formula>OR(WEEKDAY(#REF!,1)=7,WEEKDAY(#REF!,1)=1)</formula>
    </cfRule>
  </conditionalFormatting>
  <conditionalFormatting sqref="F96:H96">
    <cfRule type="expression" dxfId="133" priority="353">
      <formula>OR($E95="VACACIONES",$E95="ENFERMEDAD")</formula>
    </cfRule>
    <cfRule type="expression" dxfId="134" priority="354">
      <formula>OR(WEEKDAY(#REF!,1)=7,WEEKDAY(#REF!,1)=1)</formula>
    </cfRule>
  </conditionalFormatting>
  <conditionalFormatting sqref="F97:H97">
    <cfRule type="expression" dxfId="132" priority="351">
      <formula>OR(#REF!="VACACIONES",#REF!="ENFERMEDAD")</formula>
    </cfRule>
  </conditionalFormatting>
  <conditionalFormatting sqref="F104:H104">
    <cfRule type="expression" dxfId="131" priority="338">
      <formula>OR($E103="VACACIONES",$E103="ENFERMEDAD")</formula>
    </cfRule>
  </conditionalFormatting>
  <conditionalFormatting sqref="F111:H111">
    <cfRule type="expression" dxfId="130" priority="332">
      <formula>OR($E107="VACACIONES",$E107="ENFERMEDAD")</formula>
    </cfRule>
  </conditionalFormatting>
  <conditionalFormatting sqref="F112:H113">
    <cfRule type="expression" dxfId="129" priority="324">
      <formula>OR($E112="VACACIONES",$E112="ENFERMEDAD")</formula>
    </cfRule>
  </conditionalFormatting>
  <conditionalFormatting sqref="F140:H142">
    <cfRule type="expression" dxfId="128" priority="292">
      <formula>OR($E140="VACACIONES",$E140="ENFERMEDAD")</formula>
    </cfRule>
  </conditionalFormatting>
  <conditionalFormatting sqref="F143:H143">
    <cfRule type="expression" dxfId="127" priority="290">
      <formula>OR($E143="VACACIONES",$E143="ENFERMEDAD")</formula>
    </cfRule>
  </conditionalFormatting>
  <conditionalFormatting sqref="F147:H147">
    <cfRule type="expression" dxfId="126" priority="288">
      <formula>OR($E146="VACACIONES",$E146="ENFERMEDAD")</formula>
    </cfRule>
  </conditionalFormatting>
  <conditionalFormatting sqref="F161:H161">
    <cfRule type="expression" dxfId="125" priority="273">
      <formula>OR($E161="VACACIONES",$E161="ENFERMEDAD")</formula>
    </cfRule>
  </conditionalFormatting>
  <conditionalFormatting sqref="F201:H202">
    <cfRule type="expression" dxfId="124" priority="231">
      <formula>OR($E201="VACACIONES",$E201="ENFERMEDAD")</formula>
    </cfRule>
  </conditionalFormatting>
  <conditionalFormatting sqref="F284:H284">
    <cfRule type="expression" dxfId="123" priority="153">
      <formula>OR($E284="VACACIONES",$E284="ENFERMEDAD")</formula>
    </cfRule>
  </conditionalFormatting>
  <conditionalFormatting sqref="F285:H285">
    <cfRule type="expression" dxfId="122" priority="150">
      <formula>OR($E285="VACACIONES",$E285="ENFERMEDAD")</formula>
    </cfRule>
  </conditionalFormatting>
  <conditionalFormatting sqref="F288:H292">
    <cfRule type="expression" dxfId="121" priority="146">
      <formula>OR($G288="48VACACI",$G288="49ENFERM")</formula>
    </cfRule>
  </conditionalFormatting>
  <conditionalFormatting sqref="F295:H298">
    <cfRule type="expression" dxfId="120" priority="141">
      <formula>OR($G295="48VACACI",$G295="49ENFERM")</formula>
    </cfRule>
  </conditionalFormatting>
  <conditionalFormatting sqref="F314:H314">
    <cfRule type="expression" dxfId="119" priority="108">
      <formula>OR($E314="VACACIONES",$E314="ENFERMEDAD")</formula>
    </cfRule>
  </conditionalFormatting>
  <conditionalFormatting sqref="F315:H315">
    <cfRule type="expression" dxfId="118" priority="113">
      <formula>OR($E315="VACACIONES",$E315="ENFERMEDAD")</formula>
    </cfRule>
  </conditionalFormatting>
  <conditionalFormatting sqref="F365:H365 E332:F337 E339:F363 F366:F367 E364:E374 F369:F374 E376:F400 E401 E402:F420 E422:F441 E443:F448 E450:F481 E483:F500 E506:F507">
    <cfRule type="expression" dxfId="117" priority="49">
      <formula>OR(WEEKDAY(B332,1)=3,WEEKDAY(B332,1)=3)</formula>
    </cfRule>
  </conditionalFormatting>
  <conditionalFormatting sqref="F375:H375">
    <cfRule type="expression" dxfId="116" priority="54">
      <formula>OR($E374="VACACIONES",$E374="ENFERMEDAD")</formula>
    </cfRule>
  </conditionalFormatting>
  <conditionalFormatting sqref="F401:H401">
    <cfRule type="expression" dxfId="115" priority="36">
      <formula>OR($G401="48VACACI",$G401="49ENFERM")</formula>
    </cfRule>
  </conditionalFormatting>
  <conditionalFormatting sqref="F501:H502">
    <cfRule type="expression" dxfId="114" priority="11">
      <formula>OR($G501="48VACACI",$G501="49ENFERM")</formula>
    </cfRule>
  </conditionalFormatting>
  <conditionalFormatting sqref="F505:H505">
    <cfRule type="expression" dxfId="113" priority="9">
      <formula>OR($G505="48VACACI",$G505="49ENFERM")</formula>
    </cfRule>
  </conditionalFormatting>
  <conditionalFormatting sqref="F508:H509">
    <cfRule type="expression" dxfId="112" priority="4">
      <formula>OR($G508="48VACACI",$G508="49ENFERM")</formula>
    </cfRule>
  </conditionalFormatting>
  <conditionalFormatting sqref="G231 G232:H232 G329:H331 G376:H400 G402:H420 G422:H441 G443:H448 G450:H481 G483:H500 G506:H507">
    <cfRule type="expression" dxfId="111" priority="193">
      <formula>OR(WEEKDAY(B231,1)=7,WEEKDAY(B231,1)=1)</formula>
    </cfRule>
  </conditionalFormatting>
  <conditionalFormatting sqref="G233">
    <cfRule type="expression" dxfId="110" priority="199">
      <formula>OR(WEEKDAY(B233,1)=7,WEEKDAY(B233,1)=1)</formula>
    </cfRule>
  </conditionalFormatting>
  <conditionalFormatting sqref="G313">
    <cfRule type="expression" dxfId="109" priority="115">
      <formula>OR(WEEKDAY(B313,1)=7,WEEKDAY(B313,1)=1)</formula>
    </cfRule>
  </conditionalFormatting>
  <conditionalFormatting sqref="G316:G317">
    <cfRule type="expression" dxfId="108" priority="107">
      <formula>OR(WEEKDAY(B316,1)=7,WEEKDAY(B316,1)=1)</formula>
    </cfRule>
  </conditionalFormatting>
  <conditionalFormatting sqref="G322 G324">
    <cfRule type="expression" dxfId="107" priority="96">
      <formula>OR(WEEKDAY(B322,1)=7,WEEKDAY(B322,1)=1)</formula>
    </cfRule>
  </conditionalFormatting>
  <conditionalFormatting sqref="G4:H9 G148:H182">
    <cfRule type="expression" dxfId="106" priority="314">
      <formula>OR(WEEKDAY(B4,1)=7,WEEKDAY(B4,1)=1)</formula>
    </cfRule>
  </conditionalFormatting>
  <conditionalFormatting sqref="G10:H16">
    <cfRule type="expression" dxfId="105" priority="312">
      <formula>OR(WEEKDAY(B10,1)=7,WEEKDAY(B10,1)=1)</formula>
    </cfRule>
  </conditionalFormatting>
  <conditionalFormatting sqref="G17:H18 G42:H43 G46:H48">
    <cfRule type="expression" dxfId="104" priority="535">
      <formula>OR(WEEKDAY(B16,1)=7,WEEKDAY(B16,1)=1)</formula>
    </cfRule>
  </conditionalFormatting>
  <conditionalFormatting sqref="G19:H19">
    <cfRule type="expression" dxfId="103" priority="479">
      <formula>OR(WEEKDAY(B19,1)=7,WEEKDAY(B19,1)=1)</formula>
    </cfRule>
  </conditionalFormatting>
  <conditionalFormatting sqref="G20:H21">
    <cfRule type="expression" dxfId="102" priority="545">
      <formula>OR(WEEKDAY(B18,1)=7,WEEKDAY(B18,1)=1)</formula>
    </cfRule>
  </conditionalFormatting>
  <conditionalFormatting sqref="G22:H26">
    <cfRule type="expression" dxfId="101" priority="310">
      <formula>OR(WEEKDAY(B22,1)=7,WEEKDAY(B22,1)=1)</formula>
    </cfRule>
  </conditionalFormatting>
  <conditionalFormatting sqref="G27:H31">
    <cfRule type="expression" dxfId="100" priority="471">
      <formula>OR(WEEKDAY(B26,1)=7,WEEKDAY(B26,1)=1)</formula>
    </cfRule>
  </conditionalFormatting>
  <conditionalFormatting sqref="G32:H32">
    <cfRule type="expression" dxfId="99" priority="465">
      <formula>OR(WEEKDAY(B32,1)=7,WEEKDAY(B32,1)=1)</formula>
    </cfRule>
  </conditionalFormatting>
  <conditionalFormatting sqref="G33:H33">
    <cfRule type="expression" dxfId="98" priority="461">
      <formula>OR(WEEKDAY(B32,1)=7,WEEKDAY(B32,1)=1)</formula>
    </cfRule>
  </conditionalFormatting>
  <conditionalFormatting sqref="G34:H34">
    <cfRule type="expression" dxfId="97" priority="484">
      <formula>OR(WEEKDAY(B33,1)=7,WEEKDAY(B33,1)=1)</formula>
    </cfRule>
  </conditionalFormatting>
  <conditionalFormatting sqref="G35:H35">
    <cfRule type="expression" dxfId="96" priority="454">
      <formula>OR(WEEKDAY(B34,1)=7,WEEKDAY(B34,1)=1)</formula>
    </cfRule>
  </conditionalFormatting>
  <conditionalFormatting sqref="G36:H41">
    <cfRule type="expression" dxfId="95" priority="439">
      <formula>OR(WEEKDAY(B36,1)=7,WEEKDAY(B36,1)=1)</formula>
    </cfRule>
  </conditionalFormatting>
  <conditionalFormatting sqref="G44:H45">
    <cfRule type="expression" dxfId="94" priority="435">
      <formula>OR(WEEKDAY(B44,1)=7,WEEKDAY(B44,1)=1)</formula>
    </cfRule>
  </conditionalFormatting>
  <conditionalFormatting sqref="G49:H53">
    <cfRule type="expression" dxfId="93" priority="426">
      <formula>OR(WEEKDAY(B49,1)=7,WEEKDAY(B49,1)=1)</formula>
    </cfRule>
  </conditionalFormatting>
  <conditionalFormatting sqref="G54:H55">
    <cfRule type="expression" dxfId="92" priority="424">
      <formula>OR(WEEKDAY(B53,1)=7,WEEKDAY(B53,1)=1)</formula>
    </cfRule>
  </conditionalFormatting>
  <conditionalFormatting sqref="G58:H60">
    <cfRule type="expression" dxfId="91" priority="548">
      <formula>OR(WEEKDAY(#REF!,1)=7,WEEKDAY(#REF!,1)=1)</formula>
    </cfRule>
  </conditionalFormatting>
  <conditionalFormatting sqref="G61:H65">
    <cfRule type="expression" dxfId="90" priority="412">
      <formula>OR(WEEKDAY(B61,1)=7,WEEKDAY(B61,1)=1)</formula>
    </cfRule>
  </conditionalFormatting>
  <conditionalFormatting sqref="G66:H66">
    <cfRule type="expression" dxfId="89" priority="409">
      <formula>OR(WEEKDAY(B65,1)=7,WEEKDAY(B65,1)=1)</formula>
    </cfRule>
  </conditionalFormatting>
  <conditionalFormatting sqref="G69:H70">
    <cfRule type="expression" dxfId="88" priority="401">
      <formula>OR(WEEKDAY(B69,1)=7,WEEKDAY(B69,1)=1)</formula>
    </cfRule>
  </conditionalFormatting>
  <conditionalFormatting sqref="G71:H73">
    <cfRule type="expression" dxfId="87" priority="399">
      <formula>OR(WEEKDAY(#REF!,1)=7,WEEKDAY(#REF!,1)=1)</formula>
    </cfRule>
  </conditionalFormatting>
  <conditionalFormatting sqref="G74:H75">
    <cfRule type="expression" dxfId="86" priority="393">
      <formula>OR(WEEKDAY(#REF!,1)=7,WEEKDAY(#REF!,1)=1)</formula>
    </cfRule>
  </conditionalFormatting>
  <conditionalFormatting sqref="G76:H79">
    <cfRule type="expression" dxfId="85" priority="380">
      <formula>OR(WEEKDAY(B76,1)=7,WEEKDAY(B76,1)=1)</formula>
    </cfRule>
  </conditionalFormatting>
  <conditionalFormatting sqref="G81:H83">
    <cfRule type="expression" dxfId="84" priority="376">
      <formula>OR(WEEKDAY(B81,1)=7,WEEKDAY(B81,1)=1)</formula>
    </cfRule>
  </conditionalFormatting>
  <conditionalFormatting sqref="G87:H92">
    <cfRule type="expression" dxfId="83" priority="366">
      <formula>OR(WEEKDAY(B87,1)=7,WEEKDAY(B87,1)=1)</formula>
    </cfRule>
  </conditionalFormatting>
  <conditionalFormatting sqref="G95:H95">
    <cfRule type="expression" dxfId="82" priority="356">
      <formula>OR(WEEKDAY(B95,1)=7,WEEKDAY(B95,1)=1)</formula>
    </cfRule>
  </conditionalFormatting>
  <conditionalFormatting sqref="G97:H97">
    <cfRule type="expression" dxfId="81" priority="352">
      <formula>OR(WEEKDAY(#REF!,1)=7,WEEKDAY(#REF!,1)=1)</formula>
    </cfRule>
  </conditionalFormatting>
  <conditionalFormatting sqref="G104:H104">
    <cfRule type="expression" dxfId="80" priority="339">
      <formula>OR(WEEKDAY(B103,1)=7,WEEKDAY(B103,1)=1)</formula>
    </cfRule>
  </conditionalFormatting>
  <conditionalFormatting sqref="G105:H110">
    <cfRule type="expression" dxfId="79" priority="325">
      <formula>OR(WEEKDAY(B105,1)=7,WEEKDAY(B105,1)=1)</formula>
    </cfRule>
  </conditionalFormatting>
  <conditionalFormatting sqref="G111:H111">
    <cfRule type="expression" dxfId="78" priority="333">
      <formula>OR(WEEKDAY(B107,1)=7,WEEKDAY(B107,1)=1)</formula>
    </cfRule>
  </conditionalFormatting>
  <conditionalFormatting sqref="G112:H146 G185:H186 G189:H189 G193:H193 G195:H196 G200:H200 G205:H206 G208:H208 G210:H210 G213:H213 G216:H217 G220:H220 G222:H222 G225:H226 G234:H235 G241:H242 G248:H249 G256:H257 G263:H264 G268:H268 G270:H271 G278:H279 G286:H287 G293:H294 G300:H301 G303:H304 G307:H307 G309:H310 G56:H57 G98:H103">
    <cfRule type="expression" dxfId="77" priority="489">
      <formula>OR(WEEKDAY(B56,1)=7,WEEKDAY(B56,1)=1)</formula>
    </cfRule>
  </conditionalFormatting>
  <conditionalFormatting sqref="G147:H147">
    <cfRule type="expression" dxfId="76" priority="286">
      <formula>OR(WEEKDAY(B146,1)=7,WEEKDAY(B146,1)=1)</formula>
    </cfRule>
  </conditionalFormatting>
  <conditionalFormatting sqref="G183:H184">
    <cfRule type="expression" dxfId="75" priority="270">
      <formula>OR(WEEKDAY(B183,1)=7,WEEKDAY(B183,1)=1)</formula>
    </cfRule>
  </conditionalFormatting>
  <conditionalFormatting sqref="G187:H188">
    <cfRule type="expression" dxfId="74" priority="251">
      <formula>OR(WEEKDAY(B187,1)=7,WEEKDAY(B187,1)=1)</formula>
    </cfRule>
  </conditionalFormatting>
  <conditionalFormatting sqref="G190:H192">
    <cfRule type="expression" dxfId="73" priority="247">
      <formula>OR(WEEKDAY(B190,1)=7,WEEKDAY(B190,1)=1)</formula>
    </cfRule>
  </conditionalFormatting>
  <conditionalFormatting sqref="G194:H194">
    <cfRule type="expression" dxfId="72" priority="243">
      <formula>OR(WEEKDAY(B194,1)=7,WEEKDAY(B194,1)=1)</formula>
    </cfRule>
  </conditionalFormatting>
  <conditionalFormatting sqref="G197:H201">
    <cfRule type="expression" dxfId="71" priority="239">
      <formula>OR(WEEKDAY(B197,1)=7,WEEKDAY(B197,1)=1)</formula>
    </cfRule>
  </conditionalFormatting>
  <conditionalFormatting sqref="G201:H204">
    <cfRule type="expression" dxfId="70" priority="232">
      <formula>OR(WEEKDAY(B201,1)=7,WEEKDAY(B201,1)=1)</formula>
    </cfRule>
  </conditionalFormatting>
  <conditionalFormatting sqref="G207:H207">
    <cfRule type="expression" dxfId="69" priority="223">
      <formula>OR(WEEKDAY(B207,1)=7,WEEKDAY(B207,1)=1)</formula>
    </cfRule>
  </conditionalFormatting>
  <conditionalFormatting sqref="G209:H209">
    <cfRule type="expression" dxfId="68" priority="228">
      <formula>OR(WEEKDAY(B209,1)=7,WEEKDAY(B209,1)=1)</formula>
    </cfRule>
  </conditionalFormatting>
  <conditionalFormatting sqref="G211:H212">
    <cfRule type="expression" dxfId="67" priority="219">
      <formula>OR(WEEKDAY(B211,1)=7,WEEKDAY(B211,1)=1)</formula>
    </cfRule>
  </conditionalFormatting>
  <conditionalFormatting sqref="G214:H215">
    <cfRule type="expression" dxfId="66" priority="215">
      <formula>OR(WEEKDAY(B214,1)=7,WEEKDAY(B214,1)=1)</formula>
    </cfRule>
  </conditionalFormatting>
  <conditionalFormatting sqref="G218:H219">
    <cfRule type="expression" dxfId="65" priority="207">
      <formula>OR(WEEKDAY(B218,1)=7,WEEKDAY(B218,1)=1)</formula>
    </cfRule>
  </conditionalFormatting>
  <conditionalFormatting sqref="G221:H221">
    <cfRule type="expression" dxfId="64" priority="211">
      <formula>OR(WEEKDAY(B221,1)=7,WEEKDAY(B221,1)=1)</formula>
    </cfRule>
  </conditionalFormatting>
  <conditionalFormatting sqref="G223:H224">
    <cfRule type="expression" dxfId="63" priority="203">
      <formula>OR(WEEKDAY(B223,1)=7,WEEKDAY(B223,1)=1)</formula>
    </cfRule>
  </conditionalFormatting>
  <conditionalFormatting sqref="G227:H230">
    <cfRule type="expression" dxfId="62" priority="196">
      <formula>OR(WEEKDAY(B227,1)=7,WEEKDAY(B227,1)=1)</formula>
    </cfRule>
  </conditionalFormatting>
  <conditionalFormatting sqref="G236:H240">
    <cfRule type="expression" dxfId="61" priority="185">
      <formula>OR(WEEKDAY(B236,1)=7,WEEKDAY(B236,1)=1)</formula>
    </cfRule>
  </conditionalFormatting>
  <conditionalFormatting sqref="G243:H247">
    <cfRule type="expression" dxfId="60" priority="181">
      <formula>OR(WEEKDAY(B243,1)=7,WEEKDAY(B243,1)=1)</formula>
    </cfRule>
  </conditionalFormatting>
  <conditionalFormatting sqref="G250:H255">
    <cfRule type="expression" dxfId="59" priority="177">
      <formula>OR(WEEKDAY(B250,1)=7,WEEKDAY(B250,1)=1)</formula>
    </cfRule>
  </conditionalFormatting>
  <conditionalFormatting sqref="G258:H262">
    <cfRule type="expression" dxfId="58" priority="173">
      <formula>OR(WEEKDAY(B258,1)=7,WEEKDAY(B258,1)=1)</formula>
    </cfRule>
  </conditionalFormatting>
  <conditionalFormatting sqref="G265:H267">
    <cfRule type="expression" dxfId="57" priority="169">
      <formula>OR(WEEKDAY(B265,1)=7,WEEKDAY(B265,1)=1)</formula>
    </cfRule>
  </conditionalFormatting>
  <conditionalFormatting sqref="G269:H269">
    <cfRule type="expression" dxfId="56" priority="165">
      <formula>OR(WEEKDAY(B269,1)=7,WEEKDAY(B269,1)=1)</formula>
    </cfRule>
  </conditionalFormatting>
  <conditionalFormatting sqref="G272:H277">
    <cfRule type="expression" dxfId="55" priority="161">
      <formula>OR(WEEKDAY(B272,1)=7,WEEKDAY(B272,1)=1)</formula>
    </cfRule>
  </conditionalFormatting>
  <conditionalFormatting sqref="G280:H283">
    <cfRule type="expression" dxfId="54" priority="157">
      <formula>OR(WEEKDAY(B280,1)=7,WEEKDAY(B280,1)=1)</formula>
    </cfRule>
  </conditionalFormatting>
  <conditionalFormatting sqref="G284:H284">
    <cfRule type="expression" dxfId="53" priority="154">
      <formula>OR(WEEKDAY(B284,1)=7,WEEKDAY(B284,1)=1)</formula>
    </cfRule>
  </conditionalFormatting>
  <conditionalFormatting sqref="G285:H285">
    <cfRule type="expression" dxfId="52" priority="151">
      <formula>OR(WEEKDAY(B285,1)=7,WEEKDAY(B285,1)=1)</formula>
    </cfRule>
  </conditionalFormatting>
  <conditionalFormatting sqref="G288:H292">
    <cfRule type="expression" dxfId="51" priority="147">
      <formula>OR(WEEKDAY(B288,1)=7,WEEKDAY(B288,1)=1)</formula>
    </cfRule>
  </conditionalFormatting>
  <conditionalFormatting sqref="G295:H299">
    <cfRule type="expression" dxfId="50" priority="142">
      <formula>OR(WEEKDAY(B295,1)=7,WEEKDAY(B295,1)=1)</formula>
    </cfRule>
  </conditionalFormatting>
  <conditionalFormatting sqref="G302:H302">
    <cfRule type="expression" dxfId="49" priority="136">
      <formula>OR(WEEKDAY(B302,1)=7,WEEKDAY(B302,1)=1)</formula>
    </cfRule>
  </conditionalFormatting>
  <conditionalFormatting sqref="G305:H307">
    <cfRule type="expression" dxfId="48" priority="129">
      <formula>OR(WEEKDAY(B305,1)=7,WEEKDAY(B305,1)=1)</formula>
    </cfRule>
  </conditionalFormatting>
  <conditionalFormatting sqref="G308:H308">
    <cfRule type="expression" dxfId="47" priority="125">
      <formula>OR(WEEKDAY(B308,1)=7,WEEKDAY(B308,1)=1)</formula>
    </cfRule>
  </conditionalFormatting>
  <conditionalFormatting sqref="G311:H311">
    <cfRule type="expression" dxfId="46" priority="132">
      <formula>OR(WEEKDAY(B311,1)=7,WEEKDAY(B311,1)=1)</formula>
    </cfRule>
  </conditionalFormatting>
  <conditionalFormatting sqref="G312:H312">
    <cfRule type="expression" dxfId="45" priority="122">
      <formula>OR(WEEKDAY(B312,1)=7,WEEKDAY(B312,1)=1)</formula>
    </cfRule>
  </conditionalFormatting>
  <conditionalFormatting sqref="G312:H313">
    <cfRule type="expression" dxfId="44" priority="118">
      <formula>OR(WEEKDAY(B312,1)=7,WEEKDAY(B312,1)=1)</formula>
    </cfRule>
  </conditionalFormatting>
  <conditionalFormatting sqref="G314:H314">
    <cfRule type="expression" dxfId="43" priority="109">
      <formula>OR(WEEKDAY(B314,1)=7,WEEKDAY(B314,1)=1)</formula>
    </cfRule>
  </conditionalFormatting>
  <conditionalFormatting sqref="G315:H315">
    <cfRule type="expression" dxfId="42" priority="114">
      <formula>OR(WEEKDAY(B315,1)=7,WEEKDAY(B315,1)=1)</formula>
    </cfRule>
  </conditionalFormatting>
  <conditionalFormatting sqref="G316:H324">
    <cfRule type="expression" dxfId="41" priority="103">
      <formula>OR(WEEKDAY(B316,1)=7,WEEKDAY(B316,1)=1)</formula>
    </cfRule>
  </conditionalFormatting>
  <conditionalFormatting sqref="G325:H328">
    <cfRule type="expression" dxfId="40" priority="90">
      <formula>OR(WEEKDAY(B325,1)=7,WEEKDAY(B325,1)=1)</formula>
    </cfRule>
  </conditionalFormatting>
  <conditionalFormatting sqref="G332:H332">
    <cfRule type="expression" dxfId="39" priority="86">
      <formula>OR(WEEKDAY(B332,1)=7,WEEKDAY(B332,1)=1)</formula>
    </cfRule>
  </conditionalFormatting>
  <conditionalFormatting sqref="G333:H334 G336:H337 G339:H339 G342:H342 G344:H345 G347:H347 G350:H363 G365:H367 G369:H374">
    <cfRule type="expression" dxfId="38" priority="82">
      <formula>OR(WEEKDAY(B333,1)=7,WEEKDAY(B333,1)=1)</formula>
    </cfRule>
  </conditionalFormatting>
  <conditionalFormatting sqref="G335:H335">
    <cfRule type="expression" dxfId="37" priority="72">
      <formula>OR(WEEKDAY(B335,1)=7,WEEKDAY(B335,1)=1)</formula>
    </cfRule>
  </conditionalFormatting>
  <conditionalFormatting sqref="G338:H338">
    <cfRule type="expression" dxfId="36" priority="80">
      <formula>OR(WEEKDAY(B338,1)=7,WEEKDAY(B338,1)=1)</formula>
    </cfRule>
  </conditionalFormatting>
  <conditionalFormatting sqref="G340:H341">
    <cfRule type="expression" dxfId="35" priority="76">
      <formula>OR(WEEKDAY(B340,1)=7,WEEKDAY(B340,1)=1)</formula>
    </cfRule>
  </conditionalFormatting>
  <conditionalFormatting sqref="G343:H343">
    <cfRule type="expression" dxfId="34" priority="74">
      <formula>OR(WEEKDAY(B343,1)=7,WEEKDAY(B343,1)=1)</formula>
    </cfRule>
  </conditionalFormatting>
  <conditionalFormatting sqref="G346:H346">
    <cfRule type="expression" dxfId="33" priority="70">
      <formula>OR(WEEKDAY(B346,1)=7,WEEKDAY(B346,1)=1)</formula>
    </cfRule>
  </conditionalFormatting>
  <conditionalFormatting sqref="G348:H348">
    <cfRule type="expression" dxfId="32" priority="68">
      <formula>OR(WEEKDAY(B348,1)=7,WEEKDAY(B348,1)=1)</formula>
    </cfRule>
  </conditionalFormatting>
  <conditionalFormatting sqref="G349:H349">
    <cfRule type="expression" dxfId="31" priority="66">
      <formula>OR(WEEKDAY(B349,1)=7,WEEKDAY(B349,1)=1)</formula>
    </cfRule>
  </conditionalFormatting>
  <conditionalFormatting sqref="G364:H364">
    <cfRule type="expression" dxfId="29" priority="63">
      <formula>OR(WEEKDAY(B363,1)=7,WEEKDAY(B363,1)=1)</formula>
    </cfRule>
    <cfRule type="expression" dxfId="30" priority="65">
      <formula>OR($E363="VACACIONES",$E363="ENFERMEDAD")</formula>
    </cfRule>
  </conditionalFormatting>
  <conditionalFormatting sqref="G365:H365">
    <cfRule type="expression" dxfId="28" priority="47">
      <formula>OR(WEEKDAY(D365,1)=3,WEEKDAY(D365,1)=3)</formula>
    </cfRule>
    <cfRule type="expression" dxfId="27" priority="48">
      <formula>OR(WEEKDAY(D365,1)=7,WEEKDAY(D365,1)=1)</formula>
    </cfRule>
  </conditionalFormatting>
  <conditionalFormatting sqref="G368:H368">
    <cfRule type="expression" dxfId="25" priority="58">
      <formula>OR(WEEKDAY(B367,1)=7,WEEKDAY(B367,1)=1)</formula>
    </cfRule>
    <cfRule type="expression" dxfId="26" priority="60">
      <formula>OR($E367="VACACIONES",$E367="ENFERMEDAD")</formula>
    </cfRule>
  </conditionalFormatting>
  <conditionalFormatting sqref="G375:H375">
    <cfRule type="expression" dxfId="24" priority="52">
      <formula>OR(WEEKDAY(B374,1)=7,WEEKDAY(B374,1)=1)</formula>
    </cfRule>
  </conditionalFormatting>
  <conditionalFormatting sqref="G401:H401">
    <cfRule type="expression" dxfId="23" priority="37">
      <formula>OR(WEEKDAY(B401,1)=7,WEEKDAY(B401,1)=1)</formula>
    </cfRule>
  </conditionalFormatting>
  <conditionalFormatting sqref="G421:H421">
    <cfRule type="expression" dxfId="22" priority="34">
      <formula>OR(WEEKDAY(B421,1)=7,WEEKDAY(B421,1)=1)</formula>
    </cfRule>
  </conditionalFormatting>
  <conditionalFormatting sqref="G442:H442">
    <cfRule type="expression" dxfId="21" priority="23">
      <formula>OR(WEEKDAY(B442,1)=7,WEEKDAY(B442,1)=1)</formula>
    </cfRule>
  </conditionalFormatting>
  <conditionalFormatting sqref="G449:H449">
    <cfRule type="expression" dxfId="20" priority="30">
      <formula>OR(WEEKDAY(B449,1)=7,WEEKDAY(B449,1)=1)</formula>
    </cfRule>
  </conditionalFormatting>
  <conditionalFormatting sqref="G482:H482">
    <cfRule type="expression" dxfId="19" priority="19">
      <formula>OR(WEEKDAY(B482,1)=7,WEEKDAY(B482,1)=1)</formula>
    </cfRule>
  </conditionalFormatting>
  <conditionalFormatting sqref="G501:H504">
    <cfRule type="expression" dxfId="18" priority="12">
      <formula>OR(WEEKDAY(B501,1)=7,WEEKDAY(B501,1)=1)</formula>
    </cfRule>
  </conditionalFormatting>
  <conditionalFormatting sqref="G505:H505">
    <cfRule type="expression" dxfId="17" priority="10">
      <formula>OR(WEEKDAY(B505,1)=7,WEEKDAY(B505,1)=1)</formula>
    </cfRule>
  </conditionalFormatting>
  <conditionalFormatting sqref="G508:H510">
    <cfRule type="expression" dxfId="16" priority="5">
      <formula>OR(WEEKDAY(B508,1)=7,WEEKDAY(B508,1)=1)</formula>
    </cfRule>
  </conditionalFormatting>
  <conditionalFormatting sqref="H84">
    <cfRule type="expression" dxfId="15" priority="370">
      <formula>OR($E83="VACACIONES",$E83="ENFERMEDAD")</formula>
    </cfRule>
    <cfRule type="expression" dxfId="14" priority="372">
      <formula>OR(WEEKDAY(#REF!,1)=7,WEEKDAY(#REF!,1)=1)</formula>
    </cfRule>
  </conditionalFormatting>
  <conditionalFormatting sqref="H84:H86">
    <cfRule type="expression" dxfId="13" priority="371">
      <formula>OR($E84="VACACIONES",$E84="ENFERMEDAD")</formula>
    </cfRule>
  </conditionalFormatting>
  <conditionalFormatting sqref="H85">
    <cfRule type="expression" dxfId="12" priority="549">
      <formula>OR($E82="VACACIONES",$E82="ENFERMEDAD")</formula>
    </cfRule>
    <cfRule type="expression" dxfId="11" priority="550">
      <formula>OR(WEEKDAY(#REF!,1)=7,WEEKDAY(#REF!,1)=1)</formula>
    </cfRule>
  </conditionalFormatting>
  <conditionalFormatting sqref="H86">
    <cfRule type="expression" dxfId="10" priority="553">
      <formula>OR($E82="VACACIONES",$E82="ENFERMEDAD")</formula>
    </cfRule>
    <cfRule type="expression" dxfId="9" priority="554">
      <formula>OR(WEEKDAY(#REF!,1)=7,WEEKDAY(#REF!,1)=1)</formula>
    </cfRule>
  </conditionalFormatting>
  <conditionalFormatting sqref="H94">
    <cfRule type="expression" dxfId="6" priority="342">
      <formula>OR($E94="VACACIONES",$E94="ENFERMEDAD")</formula>
    </cfRule>
    <cfRule type="expression" dxfId="7" priority="346">
      <formula>OR($E90="VACACIONES",$E90="ENFERMEDAD")</formula>
    </cfRule>
    <cfRule type="expression" dxfId="8" priority="347">
      <formula>OR(WEEKDAY(#REF!,1)=7,WEEKDAY(#REF!,1)=1)</formula>
    </cfRule>
  </conditionalFormatting>
  <conditionalFormatting sqref="H197">
    <cfRule type="expression" dxfId="5" priority="229">
      <formula>OR($E197="VACACIONES",$E197="ENFERMEDAD")</formula>
    </cfRule>
  </conditionalFormatting>
  <conditionalFormatting sqref="H231">
    <cfRule type="expression" dxfId="3" priority="189">
      <formula>OR($E231="VACACIONES",$E231="ENFERMEDAD")</formula>
    </cfRule>
    <cfRule type="expression" dxfId="4" priority="190">
      <formula>OR(WEEKDAY(C231,1)=7,WEEKDAY(C231,1)=1)</formula>
    </cfRule>
  </conditionalFormatting>
  <conditionalFormatting sqref="H233">
    <cfRule type="expression" dxfId="2" priority="187">
      <formula>OR($E233="VACACIONES",$E233="ENFERMEDAD")</formula>
    </cfRule>
    <cfRule type="expression" dxfId="1" priority="188">
      <formula>OR(WEEKDAY(C233,1)=7,WEEKDAY(C233,1)=1)</formula>
    </cfRule>
  </conditionalFormatting>
  <conditionalFormatting sqref="H316:H317">
    <cfRule type="expression" dxfId="0" priority="104">
      <formula>OR($G316="48VACACI",$G316="49ENFERM")</formula>
    </cfRule>
  </conditionalFormatting>
  <pageMargins left="0.23622047244094491" right="0.23622047244094491" top="0.74803149606299213" bottom="0.74803149606299213" header="0.31496062992125984" footer="0.31496062992125984"/>
  <pageSetup paperSize="9" scale="59"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2024</vt:lpstr>
      <vt:lpstr>2025</vt:lpstr>
      <vt:lpstr>'2025'!Área_de_impresión</vt:lpstr>
    </vt:vector>
  </TitlesOfParts>
  <Company>ACCIONA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 Cangas, Alberto</dc:creator>
  <cp:lastModifiedBy>Justo Cangas, Alberto</cp:lastModifiedBy>
  <dcterms:created xsi:type="dcterms:W3CDTF">2026-08-19T12:06:29Z</dcterms:created>
  <dcterms:modified xsi:type="dcterms:W3CDTF">2026-08-19T12:07:16Z</dcterms:modified>
</cp:coreProperties>
</file>